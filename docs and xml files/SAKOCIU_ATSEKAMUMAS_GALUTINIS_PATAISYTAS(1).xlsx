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21f6cacf7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Žaliavų gavimas" sheetId="1" r:id="R63b2ab95b65f479e"/>
    <x:sheet xmlns:r="http://schemas.openxmlformats.org/officeDocument/2006/relationships" name="2 Gamyba" sheetId="2" r:id="R389baf3d9fb1486c"/>
    <x:sheet xmlns:r="http://schemas.openxmlformats.org/officeDocument/2006/relationships" name="3 Sunaudojimas" sheetId="3" r:id="R78ab787d959642d4"/>
    <x:sheet xmlns:r="http://schemas.openxmlformats.org/officeDocument/2006/relationships" name="4 Receptūros" sheetId="4" r:id="Ra97cd2825fd24253"/>
    <x:sheet xmlns:r="http://schemas.openxmlformats.org/officeDocument/2006/relationships" name="5 Žaliavų perdavimai" sheetId="5" r:id="Rb8ffb248ebba4425"/>
    <x:sheet xmlns:r="http://schemas.openxmlformats.org/officeDocument/2006/relationships" name="6 Partijų likučiai" sheetId="6" r:id="R797aadda87de49f7"/>
    <x:sheet xmlns:r="http://schemas.openxmlformats.org/officeDocument/2006/relationships" name="7 ATSEKAMUMO PAIEŠKA" sheetId="7" r:id="Rf7b2329b71414dda"/>
    <x:sheet xmlns:r="http://schemas.openxmlformats.org/officeDocument/2006/relationships" name="8 Suvestinė" sheetId="8" r:id="R31217838a69a4544"/>
    <x:sheet xmlns:r="http://schemas.openxmlformats.org/officeDocument/2006/relationships" name="Nustatymai" sheetId="10" r:id="Rc117cc4604574a56"/>
    <x:sheet xmlns:r="http://schemas.openxmlformats.org/officeDocument/2006/relationships" name="9 Instrukcija" sheetId="9" r:id="R242d5512e1684323"/>
  </x:sheets>
</x:workbook>
</file>

<file path=xl/sharedStrings.xml><?xml version="1.0" encoding="utf-8"?>
<x:sst xmlns:x="http://schemas.openxmlformats.org/spreadsheetml/2006/main">
  <x:si>
    <x:t xml:space="preserve">ŽALIAVŲ GAVIMAS</x:t>
  </x:si>
  <x:si>
    <x:t xml:space="preserve">Kiekviena partija – atskira eilutė. Galiojimo data naudojama FIFO kontrolei; pasibaigusi partija gamybai nebus parenkama.</x:t>
  </x:si>
  <x:si>
    <x:t xml:space="preserve">Gavimo data</x:t>
  </x:si>
  <x:si>
    <x:t xml:space="preserve">Žaliava</x:t>
  </x:si>
  <x:si>
    <x:t xml:space="preserve">Kiekis, kg</x:t>
  </x:si>
  <x:si>
    <x:t xml:space="preserve">Partijos Nr.</x:t>
  </x:si>
  <x:si>
    <x:t xml:space="preserve">Tiekėjas</x:t>
  </x:si>
  <x:si>
    <x:t xml:space="preserve">Faktūros Nr.</x:t>
  </x:si>
  <x:si>
    <x:t xml:space="preserve">Galiojimo data</x:t>
  </x:si>
  <x:si>
    <x:t xml:space="preserve">Pastabos</x:t>
  </x:si>
  <x:si>
    <x:t xml:space="preserve">Perduota, kg</x:t>
  </x:si>
  <x:si>
    <x:t xml:space="preserve">Dabartinis likutis, kg</x:t>
  </x:si>
  <x:si>
    <x:t xml:space="preserve">Miltai</x:t>
  </x:si>
  <x:si>
    <x:t xml:space="preserve">Mil0630</x:t>
  </x:si>
  <x:si>
    <x:t xml:space="preserve">UAB Sanitex</x:t>
  </x:si>
  <x:si>
    <x:t xml:space="preserve">Pienas</x:t>
  </x:si>
  <x:si>
    <x:t xml:space="preserve">P0630</x:t>
  </x:si>
  <x:si>
    <x:t xml:space="preserve">Kiaušiniai</x:t>
  </x:si>
  <x:si>
    <x:t xml:space="preserve">K0630</x:t>
  </x:si>
  <x:si>
    <x:t xml:space="preserve">OVOSTAR</x:t>
  </x:si>
  <x:si>
    <x:t xml:space="preserve">Grietinės mišinys</x:t>
  </x:si>
  <x:si>
    <x:t xml:space="preserve">Gr0630</x:t>
  </x:si>
  <x:si>
    <x:t xml:space="preserve">AB Žemaitijos pienas</x:t>
  </x:si>
  <x:si>
    <x:t xml:space="preserve">Cukrus</x:t>
  </x:si>
  <x:si>
    <x:t xml:space="preserve">Cuk0630</x:t>
  </x:si>
  <x:si>
    <x:t xml:space="preserve">Ciberžolė</x:t>
  </x:si>
  <x:si>
    <x:t xml:space="preserve">Cib0630</x:t>
  </x:si>
  <x:si>
    <x:t xml:space="preserve">SPAISVILE</x:t>
  </x:si>
  <x:si>
    <x:t xml:space="preserve">Margarinas Šakočiui "Alvas"</x:t>
  </x:si>
  <x:si>
    <x:t xml:space="preserve">MarA0630</x:t>
  </x:si>
  <x:si>
    <x:t xml:space="preserve">Alvas ir KO</x:t>
  </x:si>
  <x:si>
    <x:t xml:space="preserve">Margarinas trapiam "IEVA"</x:t>
  </x:si>
  <x:si>
    <x:t xml:space="preserve">MarI0630</x:t>
  </x:si>
  <x:si>
    <x:t xml:space="preserve">Leipurinas</x:t>
  </x:si>
  <x:si>
    <x:t xml:space="preserve">Kvapnioji medžiaga</x:t>
  </x:si>
  <x:si>
    <x:t xml:space="preserve">Kvp0630</x:t>
  </x:si>
  <x:si>
    <x:t xml:space="preserve">UAB IZABELITA</x:t>
  </x:si>
  <x:si>
    <x:t xml:space="preserve">Sviestas</x:t>
  </x:si>
  <x:si>
    <x:t xml:space="preserve">Sv0630</x:t>
  </x:si>
  <x:si>
    <x:t xml:space="preserve">Elitex baltic</x:t>
  </x:si>
  <x:si>
    <x:t xml:space="preserve">Gr0701</x:t>
  </x:si>
  <x:si>
    <x:t xml:space="preserve">ZTE01914412</x:t>
  </x:si>
  <x:si>
    <x:t xml:space="preserve">P0701</x:t>
  </x:si>
  <x:si>
    <x:t xml:space="preserve">SNT5023762</x:t>
  </x:si>
  <x:si>
    <x:t xml:space="preserve">Cuk0701</x:t>
  </x:si>
  <x:si>
    <x:t xml:space="preserve">MarI0702</x:t>
  </x:si>
  <x:si>
    <x:t xml:space="preserve">Gr0703</x:t>
  </x:si>
  <x:si>
    <x:t xml:space="preserve">ZTE01915015</x:t>
  </x:si>
  <x:si>
    <x:t xml:space="preserve">P0703</x:t>
  </x:si>
  <x:si>
    <x:t xml:space="preserve">SNT5034119</x:t>
  </x:si>
  <x:si>
    <x:t xml:space="preserve">Mil0708</x:t>
  </x:si>
  <x:si>
    <x:t xml:space="preserve">SNT5039742</x:t>
  </x:si>
  <x:si>
    <x:t xml:space="preserve">Gr0710</x:t>
  </x:si>
  <x:si>
    <x:t xml:space="preserve">ZTE04987687</x:t>
  </x:si>
  <x:si>
    <x:t xml:space="preserve">P0710</x:t>
  </x:si>
  <x:si>
    <x:t xml:space="preserve">SNT5049992</x:t>
  </x:si>
  <x:si>
    <x:t xml:space="preserve">K0713</x:t>
  </x:si>
  <x:si>
    <x:t xml:space="preserve">OEP00068388</x:t>
  </x:si>
  <x:si>
    <x:t xml:space="preserve">Gr0715</x:t>
  </x:si>
  <x:si>
    <x:t xml:space="preserve">ZTE02650851</x:t>
  </x:si>
  <x:si>
    <x:t xml:space="preserve">P0715</x:t>
  </x:si>
  <x:si>
    <x:t xml:space="preserve">SNT5056405</x:t>
  </x:si>
  <x:si>
    <x:t xml:space="preserve">Gr0717</x:t>
  </x:si>
  <x:si>
    <x:t xml:space="preserve">ZTE03856192</x:t>
  </x:si>
  <x:si>
    <x:t xml:space="preserve">Cuk0720</x:t>
  </x:si>
  <x:si>
    <x:t xml:space="preserve">SNT5066999</x:t>
  </x:si>
  <x:si>
    <x:t xml:space="preserve">Mil0720</x:t>
  </x:si>
  <x:si>
    <x:t xml:space="preserve">P0720</x:t>
  </x:si>
  <x:si>
    <x:t xml:space="preserve">Gr0720</x:t>
  </x:si>
  <x:si>
    <x:t xml:space="preserve">ZTE0498856</x:t>
  </x:si>
  <x:si>
    <x:t xml:space="preserve">Gr0724</x:t>
  </x:si>
  <x:si>
    <x:t xml:space="preserve">ZTE04993080</x:t>
  </x:si>
  <x:si>
    <x:t xml:space="preserve">Cuk0727</x:t>
  </x:si>
  <x:si>
    <x:t xml:space="preserve">SNT5083691</x:t>
  </x:si>
  <x:si>
    <x:t xml:space="preserve">Mil0727</x:t>
  </x:si>
  <x:si>
    <x:t xml:space="preserve">P0727</x:t>
  </x:si>
  <x:si>
    <x:t xml:space="preserve">Gr0729</x:t>
  </x:si>
  <x:si>
    <x:t xml:space="preserve">ZTE03858969</x:t>
  </x:si>
  <x:si>
    <x:t xml:space="preserve">P0729</x:t>
  </x:si>
  <x:si>
    <x:t xml:space="preserve">SNT5090123</x:t>
  </x:si>
  <x:si>
    <x:t xml:space="preserve">MarA0730</x:t>
  </x:si>
  <x:si>
    <x:t xml:space="preserve">PP0300023282</x:t>
  </x:si>
  <x:si>
    <x:t xml:space="preserve">MarI0730</x:t>
  </x:si>
  <x:si>
    <x:t xml:space="preserve">Cuk0730</x:t>
  </x:si>
  <x:si>
    <x:t xml:space="preserve">Sv0730</x:t>
  </x:si>
  <x:si>
    <x:t xml:space="preserve">EB00260795</x:t>
  </x:si>
  <x:si>
    <x:t xml:space="preserve">Gr0731</x:t>
  </x:si>
  <x:si>
    <x:t xml:space="preserve">ZTE01918586</x:t>
  </x:si>
  <x:si>
    <x:t xml:space="preserve">Gr0803</x:t>
  </x:si>
  <x:si>
    <x:t xml:space="preserve">ZTE04995015</x:t>
  </x:si>
  <x:si>
    <x:t xml:space="preserve">P0803</x:t>
  </x:si>
  <x:si>
    <x:t xml:space="preserve">SNT5100485</x:t>
  </x:si>
  <x:si>
    <x:t xml:space="preserve">Mil0803</x:t>
  </x:si>
  <x:si>
    <x:t xml:space="preserve">K0803</x:t>
  </x:si>
  <x:si>
    <x:t xml:space="preserve">OEP00068980</x:t>
  </x:si>
  <x:si>
    <x:t xml:space="preserve">Gr0805</x:t>
  </x:si>
  <x:si>
    <x:t xml:space="preserve">ZTE04996790</x:t>
  </x:si>
  <x:si>
    <x:t xml:space="preserve">P0805</x:t>
  </x:si>
  <x:si>
    <x:t xml:space="preserve">SNT5107528</x:t>
  </x:si>
  <x:si>
    <x:t xml:space="preserve">Mil0805</x:t>
  </x:si>
  <x:si>
    <x:t xml:space="preserve">Cib0805</x:t>
  </x:si>
  <x:si>
    <x:t xml:space="preserve">SVA260013119</x:t>
  </x:si>
  <x:si>
    <x:t xml:space="preserve">P0810</x:t>
  </x:si>
  <x:si>
    <x:t xml:space="preserve">SNT5119332</x:t>
  </x:si>
  <x:si>
    <x:t xml:space="preserve">K0810</x:t>
  </x:si>
  <x:si>
    <x:t xml:space="preserve">OEP00069180</x:t>
  </x:si>
  <x:si>
    <x:t xml:space="preserve">Gr0810</x:t>
  </x:si>
  <x:si>
    <x:t xml:space="preserve">ZTE03862335</x:t>
  </x:si>
  <x:si>
    <x:t xml:space="preserve">Gr0812</x:t>
  </x:si>
  <x:si>
    <x:t xml:space="preserve">ZTE03864006</x:t>
  </x:si>
  <x:si>
    <x:t xml:space="preserve">P0812</x:t>
  </x:si>
  <x:si>
    <x:t xml:space="preserve">SNT5125570</x:t>
  </x:si>
  <x:si>
    <x:t xml:space="preserve">Cuk0812</x:t>
  </x:si>
  <x:si>
    <x:t xml:space="preserve">Mil0812</x:t>
  </x:si>
  <x:si>
    <x:t xml:space="preserve">P0817</x:t>
  </x:si>
  <x:si>
    <x:t xml:space="preserve">SNT5135910</x:t>
  </x:si>
  <x:si>
    <x:t xml:space="preserve">Gr0817</x:t>
  </x:si>
  <x:si>
    <x:t xml:space="preserve">ZTE041001368</x:t>
  </x:si>
  <x:si>
    <x:t xml:space="preserve">P0819</x:t>
  </x:si>
  <x:si>
    <x:t xml:space="preserve">SNT5141841</x:t>
  </x:si>
  <x:si>
    <x:t xml:space="preserve">Mil0819</x:t>
  </x:si>
  <x:si>
    <x:t xml:space="preserve">Cuk0819</x:t>
  </x:si>
  <x:si>
    <x:t xml:space="preserve">MarI0820</x:t>
  </x:si>
  <x:si>
    <x:t xml:space="preserve">K0820</x:t>
  </x:si>
  <x:si>
    <x:t xml:space="preserve">OEP00069386</x:t>
  </x:si>
  <x:si>
    <x:t xml:space="preserve">Sv0824</x:t>
  </x:si>
  <x:si>
    <x:t xml:space="preserve">EB00260888</x:t>
  </x:si>
  <x:si>
    <x:t xml:space="preserve">P0824</x:t>
  </x:si>
  <x:si>
    <x:t xml:space="preserve">SNT5152809</x:t>
  </x:si>
  <x:si>
    <x:t xml:space="preserve">Gr0824</x:t>
  </x:si>
  <x:si>
    <x:t xml:space="preserve">ZTE01922380</x:t>
  </x:si>
  <x:si>
    <x:t xml:space="preserve">P0826</x:t>
  </x:si>
  <x:si>
    <x:t xml:space="preserve">SNT5159265</x:t>
  </x:si>
  <x:si>
    <x:t xml:space="preserve">Cuk0826</x:t>
  </x:si>
  <x:si>
    <x:t xml:space="preserve">Mil0826</x:t>
  </x:si>
  <x:si>
    <x:t xml:space="preserve">P0831</x:t>
  </x:si>
  <x:si>
    <x:t xml:space="preserve">Gr0831</x:t>
  </x:si>
  <x:si>
    <x:t xml:space="preserve">ZTE01923901</x:t>
  </x:si>
  <x:si>
    <x:t xml:space="preserve">K0901</x:t>
  </x:si>
  <x:si>
    <x:t xml:space="preserve">OEP00069772</x:t>
  </x:si>
  <x:si>
    <x:t xml:space="preserve">P0902</x:t>
  </x:si>
  <x:si>
    <x:t xml:space="preserve">SNT5175694</x:t>
  </x:si>
  <x:si>
    <x:t xml:space="preserve">Cuk0902</x:t>
  </x:si>
  <x:si>
    <x:t xml:space="preserve">Mil0902</x:t>
  </x:si>
  <x:si>
    <x:t xml:space="preserve">Gr0902</x:t>
  </x:si>
  <x:si>
    <x:t xml:space="preserve">ZTE03868161</x:t>
  </x:si>
  <x:si>
    <x:t xml:space="preserve">MarI0903</x:t>
  </x:si>
  <x:si>
    <x:t xml:space="preserve">Cuk0903</x:t>
  </x:si>
  <x:si>
    <x:t xml:space="preserve">Gr0904</x:t>
  </x:si>
  <x:si>
    <x:t xml:space="preserve">ZTE03869984</x:t>
  </x:si>
  <x:si>
    <x:t xml:space="preserve">P0907</x:t>
  </x:si>
  <x:si>
    <x:t xml:space="preserve">SNT5186295</x:t>
  </x:si>
  <x:si>
    <x:t xml:space="preserve">Mil0907</x:t>
  </x:si>
  <x:si>
    <x:t xml:space="preserve">Gr0907</x:t>
  </x:si>
  <x:si>
    <x:t xml:space="preserve">ZTE01925960</x:t>
  </x:si>
  <x:si>
    <x:t xml:space="preserve">Kvp0907</x:t>
  </x:si>
  <x:si>
    <x:t xml:space="preserve">IZA42016344</x:t>
  </x:si>
  <x:si>
    <x:t xml:space="preserve">P0909</x:t>
  </x:si>
  <x:si>
    <x:t xml:space="preserve">SNT5193384</x:t>
  </x:si>
  <x:si>
    <x:t xml:space="preserve">Cuk0909</x:t>
  </x:si>
  <x:si>
    <x:t xml:space="preserve">Mil0909</x:t>
  </x:si>
  <x:si>
    <x:t xml:space="preserve">Gr0909</x:t>
  </x:si>
  <x:si>
    <x:t xml:space="preserve">ZTE041007302</x:t>
  </x:si>
  <x:si>
    <x:t xml:space="preserve">MarI0910</x:t>
  </x:si>
  <x:si>
    <x:t xml:space="preserve">Gr0911</x:t>
  </x:si>
  <x:si>
    <x:t xml:space="preserve">ZTE01927255</x:t>
  </x:si>
  <x:si>
    <x:t xml:space="preserve">Gr0914</x:t>
  </x:si>
  <x:si>
    <x:t xml:space="preserve">ZTE03871875</x:t>
  </x:si>
  <x:si>
    <x:t xml:space="preserve">K0914</x:t>
  </x:si>
  <x:si>
    <x:t xml:space="preserve">OEP00070166</x:t>
  </x:si>
  <x:si>
    <x:t xml:space="preserve">P0914</x:t>
  </x:si>
  <x:si>
    <x:t xml:space="preserve">SNT5203172</x:t>
  </x:si>
  <x:si>
    <x:t xml:space="preserve">Mil0914</x:t>
  </x:si>
  <x:si>
    <x:t xml:space="preserve">Cuk0914</x:t>
  </x:si>
  <x:si>
    <x:t xml:space="preserve">Gr0916</x:t>
  </x:si>
  <x:si>
    <x:t xml:space="preserve">ZTE03874393</x:t>
  </x:si>
  <x:si>
    <x:t xml:space="preserve">P0916</x:t>
  </x:si>
  <x:si>
    <x:t xml:space="preserve">SNT5209875</x:t>
  </x:si>
  <x:si>
    <x:t xml:space="preserve">Mil0916</x:t>
  </x:si>
  <x:si>
    <x:t xml:space="preserve">Cuk0916</x:t>
  </x:si>
  <x:si>
    <x:t xml:space="preserve">MarA0916</x:t>
  </x:si>
  <x:si>
    <x:t xml:space="preserve">PP0300023559</x:t>
  </x:si>
  <x:si>
    <x:t xml:space="preserve">P0917</x:t>
  </x:si>
  <x:si>
    <x:t xml:space="preserve">SNT5213191</x:t>
  </x:si>
  <x:si>
    <x:t xml:space="preserve">MarI0917</x:t>
  </x:si>
  <x:si>
    <x:t xml:space="preserve">Gr0918</x:t>
  </x:si>
  <x:si>
    <x:t xml:space="preserve">ZTE02659469</x:t>
  </x:si>
  <x:si>
    <x:t xml:space="preserve">Gr0921</x:t>
  </x:si>
  <x:si>
    <x:t xml:space="preserve">ZTE041012589</x:t>
  </x:si>
  <x:si>
    <x:t xml:space="preserve">P0921</x:t>
  </x:si>
  <x:si>
    <x:t xml:space="preserve">SNT5220440</x:t>
  </x:si>
  <x:si>
    <x:t xml:space="preserve">Mil0921</x:t>
  </x:si>
  <x:si>
    <x:t xml:space="preserve">Cuk0921</x:t>
  </x:si>
  <x:si>
    <x:t xml:space="preserve">MarA0922</x:t>
  </x:si>
  <x:si>
    <x:t xml:space="preserve">PP0300023615</x:t>
  </x:si>
  <x:si>
    <x:t xml:space="preserve">Gr0923</x:t>
  </x:si>
  <x:si>
    <x:t xml:space="preserve">ZTE01928333</x:t>
  </x:si>
  <x:si>
    <x:t xml:space="preserve">ŠAKOČIŲ GAMYBA</x:t>
  </x:si>
  <x:si>
    <x:t xml:space="preserve">Vienas gamybos įrašas – viena eilutė. Produkto partijoje įrašykite L numerį (pvz., L366). Gamybą veskite chronologine tvarka.</x:t>
  </x:si>
  <x:si>
    <x:t xml:space="preserve">Gamybos data</x:t>
  </x:si>
  <x:si>
    <x:t xml:space="preserve">Produkcija</x:t>
  </x:si>
  <x:si>
    <x:t xml:space="preserve">Pagaminta, kg</x:t>
  </x:si>
  <x:si>
    <x:t xml:space="preserve">Produkto partija (L)</x:t>
  </x:si>
  <x:si>
    <x:t xml:space="preserve">Pamaina</x:t>
  </x:si>
  <x:si>
    <x:t xml:space="preserve">Darbuotojas</x:t>
  </x:si>
  <x:si>
    <x:t xml:space="preserve">Šakotis</x:t>
  </x:si>
  <x:si>
    <x:t xml:space="preserve">L276</x:t>
  </x:si>
  <x:si>
    <x:t xml:space="preserve">Trapus šakotis</x:t>
  </x:si>
  <x:si>
    <x:t xml:space="preserve">L286</x:t>
  </x:si>
  <x:si>
    <x:t xml:space="preserve">Šakotis su sviestu</x:t>
  </x:si>
  <x:si>
    <x:t xml:space="preserve">L296</x:t>
  </x:si>
  <x:si>
    <x:t xml:space="preserve">L306</x:t>
  </x:si>
  <x:si>
    <x:t xml:space="preserve">L316</x:t>
  </x:si>
  <x:si>
    <x:t xml:space="preserve">L326</x:t>
  </x:si>
  <x:si>
    <x:t xml:space="preserve">L336</x:t>
  </x:si>
  <x:si>
    <x:t xml:space="preserve">L346</x:t>
  </x:si>
  <x:si>
    <x:t xml:space="preserve">L356</x:t>
  </x:si>
  <x:si>
    <x:t xml:space="preserve">L366</x:t>
  </x:si>
  <x:si>
    <x:t xml:space="preserve">AUTOMATINIS ŽALIAVŲ SUNAUDOJIMAS – FIFO IR GALIOJIMO KONTROLĖ</x:t>
  </x:si>
  <x:si>
    <x:t xml:space="preserve">Pildoma automatiškai iš „2 Gamyba“ ir „4 Receptūros“. Pasibaigusi partija nenaudojama. Jei vienos partijos neužtenka, naudojama antra ir trečia.</x:t>
  </x:si>
  <x:si>
    <x:t xml:space="preserve">Produkto partija</x:t>
  </x:si>
  <x:si>
    <x:t xml:space="preserve">Poreikis, kg</x:t>
  </x:si>
  <x:si>
    <x:t xml:space="preserve">FIFO partija 1</x:t>
  </x:si>
  <x:si>
    <x:t xml:space="preserve">Galiojimas 1</x:t>
  </x:si>
  <x:si>
    <x:t xml:space="preserve">Iš 1 partijos, kg</x:t>
  </x:si>
  <x:si>
    <x:t xml:space="preserve">FIFO partija 2</x:t>
  </x:si>
  <x:si>
    <x:t xml:space="preserve">Galiojimas 2</x:t>
  </x:si>
  <x:si>
    <x:t xml:space="preserve">Iš 2 partijos, kg</x:t>
  </x:si>
  <x:si>
    <x:t xml:space="preserve">FIFO partija 3</x:t>
  </x:si>
  <x:si>
    <x:t xml:space="preserve">Galiojimas 3</x:t>
  </x:si>
  <x:si>
    <x:t xml:space="preserve">Iš 3 partijos, kg</x:t>
  </x:si>
  <x:si>
    <x:t xml:space="preserve">Paskirstyta, kg</x:t>
  </x:si>
  <x:si>
    <x:t xml:space="preserve">Trūksta, kg</x:t>
  </x:si>
  <x:si>
    <x:t xml:space="preserve">Statusas</x:t>
  </x:si>
  <x:si>
    <x:t xml:space="preserve">RECEPTŪROS</x:t>
  </x:si>
  <x:si>
    <x:t xml:space="preserve">C stulpelyje įrašykite žaliavos normą kg / 1 kg produkto. Žaliavų pavadinimų nekeiskite.</x:t>
  </x:si>
  <x:si>
    <x:t xml:space="preserve">Norma kg / 1 kg produkcijos</x:t>
  </x:si>
  <x:si>
    <x:t xml:space="preserve">Pastaba</x:t>
  </x:si>
  <x:si>
    <x:t xml:space="preserve">Vanduo</x:t>
  </x:si>
  <x:si>
    <x:t xml:space="preserve">ŽALIAVŲ PERDAVIMAI Į KITUS CECHUS</x:t>
  </x:si>
  <x:si>
    <x:t xml:space="preserve">Čia registruokite faktinius perdavimus, ypač miltų ir pieno į kulinariją. Perduotas kiekis mažina konkrečios partijos likutį.</x:t>
  </x:si>
  <x:si>
    <x:t xml:space="preserve">Data</x:t>
  </x:si>
  <x:si>
    <x:t xml:space="preserve">Cechas</x:t>
  </x:si>
  <x:si>
    <x:t xml:space="preserve">Dokumento Nr.</x:t>
  </x:si>
  <x:si>
    <x:t xml:space="preserve">Atsakingas</x:t>
  </x:si>
  <x:si>
    <x:t xml:space="preserve">Partijos galiojimas</x:t>
  </x:si>
  <x:si>
    <x:t xml:space="preserve">Patikra</x:t>
  </x:si>
  <x:si>
    <x:t xml:space="preserve">ŽALIAVŲ PARTIJŲ LIKUČIAI IR GALIOJIMO KONTROLĖ</x:t>
  </x:si>
  <x:si>
    <x:t xml:space="preserve">Likutis = gauta – perduota – sunaudota šakočiams. Spalvos parodo galiojimo būklę.</x:t>
  </x:si>
  <x:si>
    <x:t xml:space="preserve">Gauta, kg</x:t>
  </x:si>
  <x:si>
    <x:t xml:space="preserve">Sunaudota šakočiams, kg</x:t>
  </x:si>
  <x:si>
    <x:t xml:space="preserve">Dienų iki galiojimo</x:t>
  </x:si>
  <x:si>
    <x:t xml:space="preserve">ATSEKAMUMO PAIEŠKA</x:t>
  </x:si>
  <x:si>
    <x:t xml:space="preserve">Žaliavos partija:</x:t>
  </x:si>
  <x:si>
    <x:t xml:space="preserve">Produkto partija (L):</x:t>
  </x:si>
  <x:si>
    <x:t xml:space="preserve">Galiojimas</x:t>
  </x:si>
  <x:si>
    <x:t xml:space="preserve">Partija 1</x:t>
  </x:si>
  <x:si>
    <x:t xml:space="preserve">Partija 2</x:t>
  </x:si>
  <x:si>
    <x:t xml:space="preserve">Partija 3</x:t>
  </x:si>
  <x:si>
    <x:t xml:space="preserve">Iš šios partijos, kg</x:t>
  </x:si>
  <x:si>
    <x:t xml:space="preserve">FIFO vieta</x:t>
  </x:si>
  <x:si>
    <x:t xml:space="preserve">ŠAKOČIŲ ATSEKAMUMO IR ŽALIAVŲ SUVESTINĖ</x:t>
  </x:si>
  <x:si>
    <x:t xml:space="preserve">Rodiklis</x:t>
  </x:si>
  <x:si>
    <x:t xml:space="preserve">Reikšmė</x:t>
  </x:si>
  <x:si>
    <x:t xml:space="preserve">Sunaudota, kg</x:t>
  </x:si>
  <x:si>
    <x:t xml:space="preserve">Likutis, kg</x:t>
  </x:si>
  <x:si>
    <x:t xml:space="preserve">Gautų žaliavų partijų skaičius</x:t>
  </x:si>
  <x:si>
    <x:t xml:space="preserve">Gamybos įrašų skaičius</x:t>
  </x:si>
  <x:si>
    <x:t xml:space="preserve">Sunaudojimo eilučių skaičius</x:t>
  </x:si>
  <x:si>
    <x:t xml:space="preserve">Eilučių su žaliavų trūkumu</x:t>
  </x:si>
  <x:si>
    <x:t xml:space="preserve">Pasibaigusių partijų su likučiu</x:t>
  </x:si>
  <x:si>
    <x:t xml:space="preserve">Partijų, kurios baigiasi per 3 d.</x:t>
  </x:si>
  <x:si>
    <x:t xml:space="preserve">Perduota į kitus cechus, kg</x:t>
  </x:si>
  <x:si>
    <x:t xml:space="preserve">PRODUKTAI</x:t>
  </x:si>
  <x:si>
    <x:t xml:space="preserve">ŽALIAVOS</x:t>
  </x:si>
  <x:si>
    <x:t xml:space="preserve">KRYPTYS / CECHAI</x:t>
  </x:si>
  <x:si>
    <x:t xml:space="preserve">PASTABA</x:t>
  </x:si>
  <x:si>
    <x:t xml:space="preserve">Kulinarija</x:t>
  </x:si>
  <x:si>
    <x:t xml:space="preserve">Naują žaliavą pridėkite C stulpelio apačioje.</x:t>
  </x:si>
  <x:si>
    <x:t xml:space="preserve">Konditerija</x:t>
  </x:si>
  <x:si>
    <x:t xml:space="preserve">Žaliavų pavadinimai receptūrose ir gavime turi sutapti.</x:t>
  </x:si>
  <x:si>
    <x:t xml:space="preserve">Kitas cechas</x:t>
  </x:si>
  <x:si>
    <x:t xml:space="preserve">Gavimą ir gamybą veskite chronologine tvarka.</x:t>
  </x:si>
  <x:si>
    <x:t xml:space="preserve">KAIP NAUDOTI FAILĄ</x:t>
  </x:si>
  <x:si>
    <x:t xml:space="preserve">1</x:t>
  </x:si>
  <x:si>
    <x:t xml:space="preserve">Pirmiausia užpildykite „4 Receptūros“ normų C stulpelį.</x:t>
  </x:si>
  <x:si>
    <x:t xml:space="preserve">2</x:t>
  </x:si>
  <x:si>
    <x:t xml:space="preserve">„1 Žaliavų gavimas“ – kiekviena partija atskira eilute, su galiojimo data. Gavimus veskite chronologine tvarka.</x:t>
  </x:si>
  <x:si>
    <x:t xml:space="preserve">3</x:t>
  </x:si>
  <x:si>
    <x:t xml:space="preserve">„2 Gamyba“ – kiekviena gamyba atskira eilute, su L partijos numeriu. Gamybą veskite chronologine tvarka.</x:t>
  </x:si>
  <x:si>
    <x:t xml:space="preserve">4</x:t>
  </x:si>
  <x:si>
    <x:t xml:space="preserve">„5 Žaliavų perdavimai“ – įrašykite pieną, miltus ar kitą žaliavą, perduotą į kulinariją / kitą cechą.</x:t>
  </x:si>
  <x:si>
    <x:t xml:space="preserve">5</x:t>
  </x:si>
  <x:si>
    <x:t xml:space="preserve">„3 Sunaudojimas“ pildomas automatiškai. Pasibaigusi partija nenaudojama; jei vienos neužtenka, naudojama 2 ir 3 partija.</x:t>
  </x:si>
  <x:si>
    <x:t xml:space="preserve">6</x:t>
  </x:si>
  <x:si>
    <x:t xml:space="preserve">„6 Partijų likučiai“ rodo gauta – perduota – sunaudota = likutis ir galiojimo spalvas.</x:t>
  </x:si>
  <x:si>
    <x:t xml:space="preserve">7</x:t>
  </x:si>
  <x:si>
    <x:t xml:space="preserve">„7 ATSEKAMUMO PAIEŠKA“ leis ieškoti žaliavos partijos ir produkto L partijos.</x:t>
  </x:si>
  <x:si>
    <x:t xml:space="preserve">8</x:t>
  </x:si>
  <x:si>
    <x:t xml:space="preserve">Geltona/oranžinė/raudona spalva rodo artėjantį ar pasibaigusį galiojimą.</x:t>
  </x:si>
  <x:si>
    <x:t xml:space="preserve">9</x:t>
  </x:si>
  <x:si>
    <x:t xml:space="preserve">FIFO principas: imama seniausia gauta dar galiojanti partija, kuri turi likutį.</x:t>
  </x:si>
  <x:si>
    <x:t xml:space="preserve">10</x:t>
  </x:si>
  <x:si>
    <x:t xml:space="preserve">Automatinis FIFO naudoja Excel FILTER funkciją, todėl rekomenduojama Excel 365 / Excel 2021 arba naujesnė versija.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</x:si>
</x:sst>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165" formatCode="0.000"/>
    <x:numFmt numFmtId="166" formatCode="0.000000"/>
    <x:numFmt numFmtId="200" formatCode="yyyy-mm-dd"/>
  </x:numFmts>
  <x:fonts count="6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color rgb="FF44546A"/>
      <x:name val="Carlito"/>
    </x:font>
    <x:font>
      <x:sz val="11"/>
      <x:name val="Carlito"/>
    </x:font>
    <x:font>
      <x:sz val="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9E6"/>
      </x:patternFill>
    </x:fill>
  </x:fills>
  <x:borders count="3">
    <x:border/>
    <x:border/>
    <x:border/>
  </x:borders>
  <x:cellStyleXfs count="2">
    <x:xf numFmtId="0" fontId="0" fillId="0" borderId="0"/>
    <x:xf numFmtId="0" fontId="4" fillId="0" borderId="0"/>
  </x:cellStyleXfs>
  <x:cellXfs count="53">
    <x:xf numFmtId="0" fontId="0" fillId="0" borderId="0" xfId="0"/>
    <x:xf numFmtId="0" fontId="1" fillId="2" borderId="0" xfId="1" applyFont="1" applyFill="1" applyAlignment="1">
      <x:alignment horizontal="center" vertical="center" wrapText="1"/>
    </x:xf>
    <x:xf numFmtId="0" fontId="0" fillId="4" borderId="0" xfId="1" applyFont="1" applyFill="1"/>
    <x:xf numFmtId="0" fontId="0" fillId="5" borderId="0" xfId="1" applyFont="1" applyFill="1"/>
    <x:xf numFmtId="164" fontId="0" fillId="5" borderId="0" xfId="1" applyNumberFormat="1" applyFont="1" applyFill="1"/>
    <x:xf numFmtId="165" fontId="0" fillId="5" borderId="0" xfId="1" applyNumberFormat="1" applyFont="1" applyFill="1"/>
    <x:xf numFmtId="165" fontId="0" fillId="4" borderId="0" xfId="1" applyNumberFormat="1" applyFont="1" applyFill="1"/>
    <x:xf numFmtId="166" fontId="0" fillId="5" borderId="0" xfId="1" applyNumberFormat="1" applyFont="1" applyFill="1"/>
    <x:xf numFmtId="164" fontId="0" fillId="4" borderId="0" xfId="1" applyNumberFormat="1" applyFont="1" applyFill="1"/>
    <x:xf numFmtId="0" fontId="1" fillId="2" borderId="0" xfId="1" applyFont="1" applyFill="1" applyAlignment="1">
      <x:alignment horizontal="center"/>
    </x:xf>
    <x:xf numFmtId="0" fontId="0" fillId="0" borderId="0" xfId="1" applyFont="1" applyAlignment="1">
      <x:alignment wrapText="1"/>
    </x:xf>
    <x:xf numFmtId="0" fontId="1" fillId="8" borderId="0" xfId="1" applyFont="1" applyFill="1" applyAlignment="1">
      <x:alignment horizontal="center" vertical="center" wrapText="1"/>
    </x:xf>
    <x:xf numFmtId="164" fontId="0" fillId="0" borderId="0" xfId="1" applyNumberFormat="1" applyFont="1"/>
    <x:xf numFmtId="165" fontId="0" fillId="0" borderId="0" xfId="1" applyNumberFormat="1" applyFont="1"/>
    <x:xf numFmtId="0" fontId="0" fillId="9" borderId="0" xfId="1" applyFont="1" applyFill="1"/>
    <x:xf numFmtId="0" fontId="1" fillId="8" borderId="0" xfId="1" applyFont="1" applyFill="1" applyAlignment="1">
      <x:alignment horizontal="center"/>
    </x:xf>
    <x:xf numFmtId="0" fontId="0" fillId="9" borderId="1" xfId="1" applyFont="1" applyFill="1" applyBorder="1"/>
    <x:xf numFmtId="0" fontId="2" fillId="3" borderId="0" xfId="1" applyFont="1" applyFill="1" applyAlignment="1">
      <x:alignment horizontal="center" vertical="center"/>
    </x:xf>
    <x:xf numFmtId="0" fontId="3" fillId="4" borderId="0" xfId="1" applyFont="1" applyFill="1" applyAlignment="1">
      <x:alignment wrapText="1"/>
    </x:xf>
    <x:xf numFmtId="0" fontId="2" fillId="6" borderId="0" xfId="1" applyFont="1" applyFill="1" applyAlignment="1">
      <x:alignment horizontal="center" vertical="center"/>
    </x:xf>
    <x:xf numFmtId="0" fontId="3" fillId="7" borderId="0" xfId="1" applyFont="1" applyFill="1" applyAlignment="1">
      <x:alignment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/>
    <x:xf numFmtId="0" fontId="0" fillId="5" borderId="2" xfId="0" applyNumberFormat="1" applyFont="1" applyFill="1" applyBorder="1"/>
    <x:xf numFmtId="164" fontId="0" fillId="5" borderId="2" xfId="0" applyNumberFormat="1" applyFont="1" applyFill="1" applyBorder="1"/>
    <x:xf numFmtId="165" fontId="0" fillId="5" borderId="2" xfId="0" applyNumberFormat="1" applyFont="1" applyFill="1" applyBorder="1"/>
    <x:xf numFmtId="165" fontId="0" fillId="4" borderId="2" xfId="0" applyNumberFormat="1" applyFont="1" applyFill="1" applyBorder="1"/>
    <x:xf numFmtId="166" fontId="0" fillId="5" borderId="2" xfId="0" applyNumberFormat="1" applyFont="1" applyFill="1" applyBorder="1"/>
    <x:xf numFmtId="164" fontId="0" fillId="4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164" fontId="0" fillId="0" borderId="2" xfId="0" applyNumberFormat="1" applyFont="1" applyFill="1" applyBorder="1"/>
    <x:xf numFmtId="165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165" fontId="0" fillId="0" borderId="0" xfId="0" applyNumberFormat="1" applyFont="1" applyFill="1" applyBorder="1"/>
    <x:xf numFmtId="165" fontId="0" fillId="4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164" fontId="0" fillId="5" borderId="0" xfId="0" applyNumberFormat="1" applyFont="1" applyFill="1" applyBorder="1"/>
    <x:xf numFmtId="165" fontId="0" fillId="5" borderId="0" xfId="0" applyNumberFormat="1" applyFont="1" applyFill="1" applyBorder="1"/>
    <x:xf numFmtId="166" fontId="0" fillId="5" borderId="0" xfId="0" applyNumberFormat="1" applyFont="1" applyFill="1" applyBorder="1"/>
    <x:xf numFmtId="164" fontId="0" fillId="4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</x:cellXfs>
  <x:cellStyles count="2">
    <x:cellStyle name="Įprastas" xfId="0"/>
    <x:cellStyle name="Normal" xfId="1"/>
  </x:cellStyles>
  <x:dxfs count="10">
    <x:dxf>
      <x:font>
        <x:b/>
        <x:color rgb="FFFFFFFF"/>
      </x:font>
      <x:fill>
        <x:patternFill>
          <x:bgColor rgb="FFC00000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83F04"/>
      </x:font>
      <x:fill>
        <x:patternFill>
          <x:bgColor rgb="FFFCE5CD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d68f99209a4b6b" /><Relationship Type="http://schemas.openxmlformats.org/officeDocument/2006/relationships/theme" Target="/xl/theme/theme1.xml" Id="R42329cfb3a9145b4" /><Relationship Type="http://schemas.openxmlformats.org/officeDocument/2006/relationships/sharedStrings" Target="/xl/sharedStrings.xml" Id="R364be3f218924ceb" /><Relationship Type="http://schemas.openxmlformats.org/officeDocument/2006/relationships/worksheet" Target="/xl/worksheets/sheet1.xml" Id="R63b2ab95b65f479e" /><Relationship Type="http://schemas.openxmlformats.org/officeDocument/2006/relationships/worksheet" Target="/xl/worksheets/sheet2.xml" Id="R389baf3d9fb1486c" /><Relationship Type="http://schemas.openxmlformats.org/officeDocument/2006/relationships/worksheet" Target="/xl/worksheets/sheet3.xml" Id="R78ab787d959642d4" /><Relationship Type="http://schemas.openxmlformats.org/officeDocument/2006/relationships/worksheet" Target="/xl/worksheets/sheet4.xml" Id="Ra97cd2825fd24253" /><Relationship Type="http://schemas.openxmlformats.org/officeDocument/2006/relationships/worksheet" Target="/xl/worksheets/sheet5.xml" Id="Rb8ffb248ebba4425" /><Relationship Type="http://schemas.openxmlformats.org/officeDocument/2006/relationships/worksheet" Target="/xl/worksheets/sheet6.xml" Id="R797aadda87de49f7" /><Relationship Type="http://schemas.openxmlformats.org/officeDocument/2006/relationships/worksheet" Target="/xl/worksheets/sheet7.xml" Id="Rf7b2329b71414dda" /><Relationship Type="http://schemas.openxmlformats.org/officeDocument/2006/relationships/worksheet" Target="/xl/worksheets/sheet8.xml" Id="R31217838a69a4544" /><Relationship Type="http://schemas.openxmlformats.org/officeDocument/2006/relationships/worksheet" Target="/xl/worksheets/sheet9.xml" Id="Rc117cc4604574a56" /><Relationship Type="http://schemas.openxmlformats.org/officeDocument/2006/relationships/worksheet" Target="/xl/worksheets/sheet10.xml" Id="R242d5512e168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3" customWidth="1"/>
    <x:col min="2" max="2" width="34" customWidth="1"/>
    <x:col min="3" max="3" width="13" customWidth="1"/>
    <x:col min="4" max="4" width="17" customWidth="1"/>
    <x:col min="5" max="5" width="28" customWidth="1"/>
    <x:col min="6" max="6" width="18" customWidth="1"/>
    <x:col min="7" max="7" width="13" customWidth="1"/>
    <x:col min="8" max="8" width="32" customWidth="1"/>
    <x:col min="9" max="9" width="14" customWidth="1"/>
    <x:col min="10" max="10" width="18" customWidth="1"/>
  </x:cols>
  <x:sheetData>
    <x:row r="1" ht="18">
      <x:c r="A1" s="17" t="s">
        <x:v>0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14.5">
      <x:c r="A2" s="18" t="s">
        <x:v>1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" t="s">
        <x:v>2</x:v>
      </x:c>
      <x:c r="B3" s="1" t="s">
        <x:v>3</x:v>
      </x:c>
      <x:c r="C3" s="1" t="s">
        <x:v>4</x:v>
      </x:c>
      <x:c r="D3" s="1" t="s">
        <x:v>5</x:v>
      </x:c>
      <x:c r="E3" s="1" t="s">
        <x:v>6</x:v>
      </x:c>
      <x:c r="F3" s="1" t="s">
        <x:v>7</x:v>
      </x:c>
      <x:c r="G3" s="1" t="s">
        <x:v>8</x:v>
      </x:c>
      <x:c r="H3" s="1" t="s">
        <x:v>9</x:v>
      </x:c>
      <x:c r="I3" s="1" t="s">
        <x:v>10</x:v>
      </x:c>
      <x:c r="J3" s="1" t="s">
        <x:v>11</x:v>
      </x:c>
    </x:row>
    <x:row r="4">
      <x:c r="A4" s="4">
        <x:v>46203</x:v>
      </x:c>
      <x:c r="B4" s="3" t="s">
        <x:v>12</x:v>
      </x:c>
      <x:c r="C4" s="5">
        <x:v>1650</x:v>
      </x:c>
      <x:c r="D4" s="3" t="s">
        <x:v>13</x:v>
      </x:c>
      <x:c r="E4" s="3" t="s">
        <x:v>14</x:v>
      </x:c>
      <x:c r="F4" s="3"/>
      <x:c r="G4" s="4">
        <x:v>46419</x:v>
      </x:c>
      <x:c r="H4" s="3"/>
      <x:c r="I4" s="6" t="n">
        <x:f>IF($D4="","",SUMIFS('5 Žaliavų perdavimai'!$E$4:$E$203,'5 Žaliavų perdavimai'!$D$4:$D$203,$D4))</x:f>
        <x:v>0</x:v>
      </x:c>
      <x:c r="J4" s="39" t="n">
        <x:v>0</x:v>
      </x:c>
    </x:row>
    <x:row r="5">
      <x:c r="A5" s="4">
        <x:v>46203</x:v>
      </x:c>
      <x:c r="B5" s="3" t="s">
        <x:v>15</x:v>
      </x:c>
      <x:c r="C5" s="5">
        <x:v>115</x:v>
      </x:c>
      <x:c r="D5" s="3" t="s">
        <x:v>16</x:v>
      </x:c>
      <x:c r="E5" s="3" t="s">
        <x:v>14</x:v>
      </x:c>
      <x:c r="F5" s="3"/>
      <x:c r="G5" s="4">
        <x:v>46208</x:v>
      </x:c>
      <x:c r="H5" s="3"/>
      <x:c r="I5" s="6" t="n">
        <x:f>IF($D5="","",SUMIFS('5 Žaliavų perdavimai'!$E$4:$E$203,'5 Žaliavų perdavimai'!$D$4:$D$203,$D5))</x:f>
        <x:v>0</x:v>
      </x:c>
      <x:c r="J5" s="39" t="n">
        <x:v>0</x:v>
      </x:c>
    </x:row>
    <x:row r="6">
      <x:c r="A6" s="4">
        <x:v>46203</x:v>
      </x:c>
      <x:c r="B6" s="3" t="s">
        <x:v>17</x:v>
      </x:c>
      <x:c r="C6" s="5">
        <x:v>2592</x:v>
      </x:c>
      <x:c r="D6" s="3" t="s">
        <x:v>18</x:v>
      </x:c>
      <x:c r="E6" s="3" t="s">
        <x:v>19</x:v>
      </x:c>
      <x:c r="F6" s="3"/>
      <x:c r="G6" s="4">
        <x:v>46218</x:v>
      </x:c>
      <x:c r="H6" s="3"/>
      <x:c r="I6" s="6" t="n">
        <x:f>IF($D6="","",SUMIFS('5 Žaliavų perdavimai'!$E$4:$E$203,'5 Žaliavų perdavimai'!$D$4:$D$203,$D6))</x:f>
        <x:v>0</x:v>
      </x:c>
      <x:c r="J6" s="39" t="n">
        <x:v>856.5622347999999</x:v>
      </x:c>
    </x:row>
    <x:row r="7">
      <x:c r="A7" s="4">
        <x:v>46203</x:v>
      </x:c>
      <x:c r="B7" s="3" t="s">
        <x:v>20</x:v>
      </x:c>
      <x:c r="C7" s="5">
        <x:v>110</x:v>
      </x:c>
      <x:c r="D7" s="3" t="s">
        <x:v>21</x:v>
      </x:c>
      <x:c r="E7" s="3" t="s">
        <x:v>22</x:v>
      </x:c>
      <x:c r="F7" s="3"/>
      <x:c r="G7" s="4">
        <x:v>46208</x:v>
      </x:c>
      <x:c r="H7" s="3"/>
      <x:c r="I7" s="6" t="n">
        <x:f>IF($D7="","",SUMIFS('5 Žaliavų perdavimai'!$E$4:$E$203,'5 Žaliavų perdavimai'!$D$4:$D$203,$D7))</x:f>
        <x:v>0</x:v>
      </x:c>
      <x:c r="J7" s="39" t="n">
        <x:v>0</x:v>
      </x:c>
    </x:row>
    <x:row r="8">
      <x:c r="A8" s="4">
        <x:v>46203</x:v>
      </x:c>
      <x:c r="B8" s="3" t="s">
        <x:v>23</x:v>
      </x:c>
      <x:c r="C8" s="5">
        <x:v>1000</x:v>
      </x:c>
      <x:c r="D8" s="3" t="s">
        <x:v>24</x:v>
      </x:c>
      <x:c r="E8" s="3" t="s">
        <x:v>14</x:v>
      </x:c>
      <x:c r="F8" s="3"/>
      <x:c r="G8" s="4">
        <x:v>46388</x:v>
      </x:c>
      <x:c r="H8" s="3"/>
      <x:c r="I8" s="6" t="n">
        <x:f>IF($D8="","",SUMIFS('5 Žaliavų perdavimai'!$E$4:$E$203,'5 Žaliavų perdavimai'!$D$4:$D$203,$D8))</x:f>
        <x:v>0</x:v>
      </x:c>
      <x:c r="J8" s="39" t="n">
        <x:v>0</x:v>
      </x:c>
    </x:row>
    <x:row r="9">
      <x:c r="A9" s="4">
        <x:v>46203</x:v>
      </x:c>
      <x:c r="B9" s="3" t="s">
        <x:v>25</x:v>
      </x:c>
      <x:c r="C9" s="5">
        <x:v>17</x:v>
      </x:c>
      <x:c r="D9" s="3" t="s">
        <x:v>26</x:v>
      </x:c>
      <x:c r="E9" s="3" t="s">
        <x:v>27</x:v>
      </x:c>
      <x:c r="F9" s="3"/>
      <x:c r="G9" s="4">
        <x:v>46573</x:v>
      </x:c>
      <x:c r="H9" s="3"/>
      <x:c r="I9" s="6" t="n">
        <x:f>IF($D9="","",SUMIFS('5 Žaliavų perdavimai'!$E$4:$E$203,'5 Žaliavų perdavimai'!$D$4:$D$203,$D9))</x:f>
        <x:v>0</x:v>
      </x:c>
      <x:c r="J9" s="39" t="n">
        <x:v>0</x:v>
      </x:c>
    </x:row>
    <x:row r="10">
      <x:c r="A10" s="4">
        <x:v>46203</x:v>
      </x:c>
      <x:c r="B10" s="3" t="s">
        <x:v>28</x:v>
      </x:c>
      <x:c r="C10" s="5">
        <x:v>1280</x:v>
      </x:c>
      <x:c r="D10" s="3" t="s">
        <x:v>29</x:v>
      </x:c>
      <x:c r="E10" s="3" t="s">
        <x:v>30</x:v>
      </x:c>
      <x:c r="F10" s="3"/>
      <x:c r="G10" s="4">
        <x:v>46306</x:v>
      </x:c>
      <x:c r="H10" s="3"/>
      <x:c r="I10" s="6" t="n">
        <x:f>IF($D10="","",SUMIFS('5 Žaliavų perdavimai'!$E$4:$E$203,'5 Žaliavų perdavimai'!$D$4:$D$203,$D10))</x:f>
        <x:v>0</x:v>
      </x:c>
      <x:c r="J10" s="39" t="n">
        <x:v>0</x:v>
      </x:c>
    </x:row>
    <x:row r="11">
      <x:c r="A11" s="4">
        <x:v>46203</x:v>
      </x:c>
      <x:c r="B11" s="3" t="s">
        <x:v>31</x:v>
      </x:c>
      <x:c r="C11" s="5">
        <x:v>800</x:v>
      </x:c>
      <x:c r="D11" s="3" t="s">
        <x:v>32</x:v>
      </x:c>
      <x:c r="E11" s="3" t="s">
        <x:v>33</x:v>
      </x:c>
      <x:c r="F11" s="3"/>
      <x:c r="G11" s="4">
        <x:v>46336</x:v>
      </x:c>
      <x:c r="H11" s="3"/>
      <x:c r="I11" s="6" t="n">
        <x:f>IF($D11="","",SUMIFS('5 Žaliavų perdavimai'!$E$4:$E$203,'5 Žaliavų perdavimai'!$D$4:$D$203,$D11))</x:f>
        <x:v>0</x:v>
      </x:c>
      <x:c r="J11" s="39" t="n">
        <x:v>0</x:v>
      </x:c>
    </x:row>
    <x:row r="12">
      <x:c r="A12" s="4">
        <x:v>46203</x:v>
      </x:c>
      <x:c r="B12" s="3" t="s">
        <x:v>34</x:v>
      </x:c>
      <x:c r="C12" s="5">
        <x:v>20</x:v>
      </x:c>
      <x:c r="D12" s="3" t="s">
        <x:v>35</x:v>
      </x:c>
      <x:c r="E12" s="3" t="s">
        <x:v>36</x:v>
      </x:c>
      <x:c r="F12" s="3"/>
      <x:c r="G12" s="4">
        <x:v>46388</x:v>
      </x:c>
      <x:c r="H12" s="3"/>
      <x:c r="I12" s="6" t="n">
        <x:f>IF($D12="","",SUMIFS('5 Žaliavų perdavimai'!$E$4:$E$203,'5 Žaliavų perdavimai'!$D$4:$D$203,$D12))</x:f>
        <x:v>0</x:v>
      </x:c>
      <x:c r="J12" s="39" t="n">
        <x:v>9.83890782</x:v>
      </x:c>
    </x:row>
    <x:row r="13">
      <x:c r="A13" s="4">
        <x:v>46203</x:v>
      </x:c>
      <x:c r="B13" s="3" t="s">
        <x:v>37</x:v>
      </x:c>
      <x:c r="C13" s="5">
        <x:v>325</x:v>
      </x:c>
      <x:c r="D13" s="3" t="s">
        <x:v>38</x:v>
      </x:c>
      <x:c r="E13" s="3" t="s">
        <x:v>39</x:v>
      </x:c>
      <x:c r="F13" s="3"/>
      <x:c r="G13" s="4">
        <x:v>46368</x:v>
      </x:c>
      <x:c r="H13" s="3"/>
      <x:c r="I13" s="6" t="n">
        <x:f>IF($D13="","",SUMIFS('5 Žaliavų perdavimai'!$E$4:$E$203,'5 Žaliavų perdavimai'!$D$4:$D$203,$D13))</x:f>
        <x:v>0</x:v>
      </x:c>
      <x:c r="J13" s="39" t="n">
        <x:v>0</x:v>
      </x:c>
    </x:row>
    <x:row r="14">
      <x:c r="A14" s="4">
        <x:v>46204</x:v>
      </x:c>
      <x:c r="B14" s="3" t="s">
        <x:v>20</x:v>
      </x:c>
      <x:c r="C14" s="5">
        <x:v>100</x:v>
      </x:c>
      <x:c r="D14" s="3" t="s">
        <x:v>40</x:v>
      </x:c>
      <x:c r="E14" s="3" t="s">
        <x:v>22</x:v>
      </x:c>
      <x:c r="F14" s="3" t="s">
        <x:v>41</x:v>
      </x:c>
      <x:c r="G14" s="4">
        <x:v>46210</x:v>
      </x:c>
      <x:c r="H14" s="3"/>
      <x:c r="I14" s="6" t="n">
        <x:f>IF($D14="","",SUMIFS('5 Žaliavų perdavimai'!$E$4:$E$203,'5 Žaliavų perdavimai'!$D$4:$D$203,$D14))</x:f>
        <x:v>0</x:v>
      </x:c>
      <x:c r="J14" s="39" t="n">
        <x:v>19.20002014000002</x:v>
      </x:c>
    </x:row>
    <x:row r="15">
      <x:c r="A15" s="4">
        <x:v>46204</x:v>
      </x:c>
      <x:c r="B15" s="3" t="s">
        <x:v>15</x:v>
      </x:c>
      <x:c r="C15" s="5">
        <x:v>100</x:v>
      </x:c>
      <x:c r="D15" s="3" t="s">
        <x:v>42</x:v>
      </x:c>
      <x:c r="E15" s="3" t="s">
        <x:v>14</x:v>
      </x:c>
      <x:c r="F15" s="3" t="s">
        <x:v>43</x:v>
      </x:c>
      <x:c r="G15" s="4">
        <x:v>46210</x:v>
      </x:c>
      <x:c r="H15" s="3"/>
      <x:c r="I15" s="6" t="n">
        <x:f>IF($D15="","",SUMIFS('5 Žaliavų perdavimai'!$E$4:$E$203,'5 Žaliavų perdavimai'!$D$4:$D$203,$D15))</x:f>
        <x:v>0</x:v>
      </x:c>
      <x:c r="J15" s="39" t="n">
        <x:v>70.703084312</x:v>
      </x:c>
    </x:row>
    <x:row r="16">
      <x:c r="A16" s="4">
        <x:v>46204</x:v>
      </x:c>
      <x:c r="B16" s="3" t="s">
        <x:v>23</x:v>
      </x:c>
      <x:c r="C16" s="5">
        <x:v>800</x:v>
      </x:c>
      <x:c r="D16" s="3" t="s">
        <x:v>44</x:v>
      </x:c>
      <x:c r="E16" s="3" t="s">
        <x:v>14</x:v>
      </x:c>
      <x:c r="F16" s="3" t="s">
        <x:v>43</x:v>
      </x:c>
      <x:c r="G16" s="4">
        <x:v>46388</x:v>
      </x:c>
      <x:c r="H16" s="3"/>
      <x:c r="I16" s="6" t="n">
        <x:f>IF($D16="","",SUMIFS('5 Žaliavų perdavimai'!$E$4:$E$203,'5 Žaliavų perdavimai'!$D$4:$D$203,$D16))</x:f>
        <x:v>0</x:v>
      </x:c>
      <x:c r="J16" s="39" t="n">
        <x:v>0</x:v>
      </x:c>
    </x:row>
    <x:row r="17">
      <x:c r="A17" s="4">
        <x:v>46205</x:v>
      </x:c>
      <x:c r="B17" s="3" t="s">
        <x:v>31</x:v>
      </x:c>
      <x:c r="C17" s="5">
        <x:v>900</x:v>
      </x:c>
      <x:c r="D17" s="3" t="s">
        <x:v>45</x:v>
      </x:c>
      <x:c r="E17" s="3" t="s">
        <x:v>33</x:v>
      </x:c>
      <x:c r="F17" s="3">
        <x:v>175075280</x:v>
      </x:c>
      <x:c r="G17" s="4">
        <x:v>46373</x:v>
      </x:c>
      <x:c r="H17" s="3"/>
      <x:c r="I17" s="6" t="n">
        <x:f>IF($D17="","",SUMIFS('5 Žaliavų perdavimai'!$E$4:$E$203,'5 Žaliavų perdavimai'!$D$4:$D$203,$D17))</x:f>
        <x:v>0</x:v>
      </x:c>
      <x:c r="J17" s="39" t="n">
        <x:v>0</x:v>
      </x:c>
    </x:row>
    <x:row r="18">
      <x:c r="A18" s="4">
        <x:v>46206</x:v>
      </x:c>
      <x:c r="B18" s="3" t="s">
        <x:v>20</x:v>
      </x:c>
      <x:c r="C18" s="5">
        <x:v>150</x:v>
      </x:c>
      <x:c r="D18" s="3" t="s">
        <x:v>46</x:v>
      </x:c>
      <x:c r="E18" s="3" t="s">
        <x:v>22</x:v>
      </x:c>
      <x:c r="F18" s="3" t="s">
        <x:v>47</x:v>
      </x:c>
      <x:c r="G18" s="4">
        <x:v>46215</x:v>
      </x:c>
      <x:c r="H18" s="3"/>
      <x:c r="I18" s="6" t="n">
        <x:f>IF($D18="","",SUMIFS('5 Žaliavų perdavimai'!$E$4:$E$203,'5 Žaliavų perdavimai'!$D$4:$D$203,$D18))</x:f>
        <x:v>0</x:v>
      </x:c>
      <x:c r="J18" s="39" t="n">
        <x:v>0</x:v>
      </x:c>
    </x:row>
    <x:row r="19">
      <x:c r="A19" s="4">
        <x:v>46209</x:v>
      </x:c>
      <x:c r="B19" s="3" t="s">
        <x:v>15</x:v>
      </x:c>
      <x:c r="C19" s="5">
        <x:v>120</x:v>
      </x:c>
      <x:c r="D19" s="3" t="s">
        <x:v>48</x:v>
      </x:c>
      <x:c r="E19" s="3" t="s">
        <x:v>14</x:v>
      </x:c>
      <x:c r="F19" s="3" t="s">
        <x:v>49</x:v>
      </x:c>
      <x:c r="G19" s="4">
        <x:v>46213</x:v>
      </x:c>
      <x:c r="H19" s="3"/>
      <x:c r="I19" s="6" t="n">
        <x:f>IF($D19="","",SUMIFS('5 Žaliavų perdavimai'!$E$4:$E$203,'5 Žaliavų perdavimai'!$D$4:$D$203,$D19))</x:f>
        <x:v>0</x:v>
      </x:c>
      <x:c r="J19" s="39" t="n">
        <x:v>50.700011088</x:v>
      </x:c>
    </x:row>
    <x:row r="20">
      <x:c r="A20" s="4">
        <x:v>46211</x:v>
      </x:c>
      <x:c r="B20" s="3" t="s">
        <x:v>12</x:v>
      </x:c>
      <x:c r="C20" s="5">
        <x:v>800</x:v>
      </x:c>
      <x:c r="D20" s="3" t="s">
        <x:v>50</x:v>
      </x:c>
      <x:c r="E20" s="3" t="s">
        <x:v>14</x:v>
      </x:c>
      <x:c r="F20" s="3" t="s">
        <x:v>51</x:v>
      </x:c>
      <x:c r="G20" s="4">
        <x:v>46536</x:v>
      </x:c>
      <x:c r="H20" s="3"/>
      <x:c r="I20" s="6" t="n">
        <x:f>IF($D20="","",SUMIFS('5 Žaliavų perdavimai'!$E$4:$E$203,'5 Žaliavų perdavimai'!$D$4:$D$203,$D20))</x:f>
        <x:v>0</x:v>
      </x:c>
      <x:c r="J20" s="39" t="n">
        <x:v>0</x:v>
      </x:c>
    </x:row>
    <x:row r="21">
      <x:c r="A21" s="4">
        <x:v>46213</x:v>
      </x:c>
      <x:c r="B21" s="3" t="s">
        <x:v>20</x:v>
      </x:c>
      <x:c r="C21" s="5">
        <x:v>150</x:v>
      </x:c>
      <x:c r="D21" s="3" t="s">
        <x:v>52</x:v>
      </x:c>
      <x:c r="E21" s="3" t="s">
        <x:v>22</x:v>
      </x:c>
      <x:c r="F21" s="3" t="s">
        <x:v>53</x:v>
      </x:c>
      <x:c r="G21" s="4">
        <x:v>46221</x:v>
      </x:c>
      <x:c r="H21" s="3"/>
      <x:c r="I21" s="6" t="n">
        <x:f>IF($D21="","",SUMIFS('5 Žaliavų perdavimai'!$E$4:$E$203,'5 Žaliavų perdavimai'!$D$4:$D$203,$D21))</x:f>
        <x:v>0</x:v>
      </x:c>
      <x:c r="J21" s="39" t="n">
        <x:v>0</x:v>
      </x:c>
    </x:row>
    <x:row r="22">
      <x:c r="A22" s="4">
        <x:v>46216</x:v>
      </x:c>
      <x:c r="B22" s="3" t="s">
        <x:v>15</x:v>
      </x:c>
      <x:c r="C22" s="5">
        <x:v>50</x:v>
      </x:c>
      <x:c r="D22" s="3" t="s">
        <x:v>54</x:v>
      </x:c>
      <x:c r="E22" s="3" t="s">
        <x:v>14</x:v>
      </x:c>
      <x:c r="F22" s="3" t="s">
        <x:v>55</x:v>
      </x:c>
      <x:c r="G22" s="4">
        <x:v>46220</x:v>
      </x:c>
      <x:c r="H22" s="3"/>
      <x:c r="I22" s="6" t="n">
        <x:f>IF($D22="","",SUMIFS('5 Žaliavų perdavimai'!$E$4:$E$203,'5 Žaliavų perdavimai'!$D$4:$D$203,$D22))</x:f>
        <x:v>0</x:v>
      </x:c>
      <x:c r="J22" s="39" t="n">
        <x:v>0</x:v>
      </x:c>
    </x:row>
    <x:row r="23">
      <x:c r="A23" s="4">
        <x:v>46216</x:v>
      </x:c>
      <x:c r="B23" s="3" t="s">
        <x:v>17</x:v>
      </x:c>
      <x:c r="C23" s="5">
        <x:v>2592</x:v>
      </x:c>
      <x:c r="D23" s="3" t="s">
        <x:v>56</x:v>
      </x:c>
      <x:c r="E23" s="3" t="s">
        <x:v>19</x:v>
      </x:c>
      <x:c r="F23" s="3" t="s">
        <x:v>57</x:v>
      </x:c>
      <x:c r="G23" s="4">
        <x:v>46237</x:v>
      </x:c>
      <x:c r="H23" s="3"/>
      <x:c r="I23" s="6" t="n">
        <x:f>IF($D23="","",SUMIFS('5 Žaliavų perdavimai'!$E$4:$E$203,'5 Žaliavų perdavimai'!$D$4:$D$203,$D23))</x:f>
        <x:v>0</x:v>
      </x:c>
      <x:c r="J23" s="39" t="n">
        <x:v>0</x:v>
      </x:c>
    </x:row>
    <x:row r="24">
      <x:c r="A24" s="4">
        <x:v>46218</x:v>
      </x:c>
      <x:c r="B24" s="3" t="s">
        <x:v>20</x:v>
      </x:c>
      <x:c r="C24" s="5">
        <x:v>150</x:v>
      </x:c>
      <x:c r="D24" s="3" t="s">
        <x:v>58</x:v>
      </x:c>
      <x:c r="E24" s="3" t="s">
        <x:v>22</x:v>
      </x:c>
      <x:c r="F24" s="3" t="s">
        <x:v>59</x:v>
      </x:c>
      <x:c r="G24" s="4">
        <x:v>46227</x:v>
      </x:c>
      <x:c r="H24" s="3"/>
      <x:c r="I24" s="6" t="n">
        <x:f>IF($D24="","",SUMIFS('5 Žaliavų perdavimai'!$E$4:$E$203,'5 Žaliavų perdavimai'!$D$4:$D$203,$D24))</x:f>
        <x:v>0</x:v>
      </x:c>
      <x:c r="J24" s="39" t="n">
        <x:v>0</x:v>
      </x:c>
    </x:row>
    <x:row r="25">
      <x:c r="A25" s="4">
        <x:v>46218</x:v>
      </x:c>
      <x:c r="B25" s="3" t="s">
        <x:v>15</x:v>
      </x:c>
      <x:c r="C25" s="5">
        <x:v>100</x:v>
      </x:c>
      <x:c r="D25" s="3" t="s">
        <x:v>60</x:v>
      </x:c>
      <x:c r="E25" s="3" t="s">
        <x:v>14</x:v>
      </x:c>
      <x:c r="F25" s="3" t="s">
        <x:v>61</x:v>
      </x:c>
      <x:c r="G25" s="4">
        <x:v>46224</x:v>
      </x:c>
      <x:c r="H25" s="3"/>
      <x:c r="I25" s="6" t="n">
        <x:f>IF($D25="","",SUMIFS('5 Žaliavų perdavimai'!$E$4:$E$203,'5 Žaliavų perdavimai'!$D$4:$D$203,$D25))</x:f>
        <x:v>0</x:v>
      </x:c>
      <x:c r="J25" s="39" t="n">
        <x:v>0</x:v>
      </x:c>
    </x:row>
    <x:row r="26">
      <x:c r="A26" s="4">
        <x:v>46220</x:v>
      </x:c>
      <x:c r="B26" s="3" t="s">
        <x:v>20</x:v>
      </x:c>
      <x:c r="C26" s="5">
        <x:v>125</x:v>
      </x:c>
      <x:c r="D26" s="3" t="s">
        <x:v>62</x:v>
      </x:c>
      <x:c r="E26" s="3" t="s">
        <x:v>22</x:v>
      </x:c>
      <x:c r="F26" s="3" t="s">
        <x:v>63</x:v>
      </x:c>
      <x:c r="G26" s="4">
        <x:v>46226</x:v>
      </x:c>
      <x:c r="H26" s="3"/>
      <x:c r="I26" s="6" t="n">
        <x:f>IF($D26="","",SUMIFS('5 Žaliavų perdavimai'!$E$4:$E$203,'5 Žaliavų perdavimai'!$D$4:$D$203,$D26))</x:f>
        <x:v>0</x:v>
      </x:c>
      <x:c r="J26" s="39" t="n">
        <x:v>0</x:v>
      </x:c>
    </x:row>
    <x:row r="27">
      <x:c r="A27" s="4">
        <x:v>46223</x:v>
      </x:c>
      <x:c r="B27" s="3" t="s">
        <x:v>23</x:v>
      </x:c>
      <x:c r="C27" s="5">
        <x:v>800</x:v>
      </x:c>
      <x:c r="D27" s="3" t="s">
        <x:v>64</x:v>
      </x:c>
      <x:c r="E27" s="3" t="s">
        <x:v>14</x:v>
      </x:c>
      <x:c r="F27" s="3" t="s">
        <x:v>65</x:v>
      </x:c>
      <x:c r="G27" s="4">
        <x:v>46388</x:v>
      </x:c>
      <x:c r="H27" s="3"/>
      <x:c r="I27" s="6" t="n">
        <x:f>IF($D27="","",SUMIFS('5 Žaliavų perdavimai'!$E$4:$E$203,'5 Žaliavų perdavimai'!$D$4:$D$203,$D27))</x:f>
        <x:v>0</x:v>
      </x:c>
      <x:c r="J27" s="39" t="n">
        <x:v>0</x:v>
      </x:c>
    </x:row>
    <x:row r="28">
      <x:c r="A28" s="4">
        <x:v>46223</x:v>
      </x:c>
      <x:c r="B28" s="3" t="s">
        <x:v>12</x:v>
      </x:c>
      <x:c r="C28" s="5">
        <x:v>800</x:v>
      </x:c>
      <x:c r="D28" s="16" t="s">
        <x:v>66</x:v>
      </x:c>
      <x:c r="E28" s="3" t="s">
        <x:v>14</x:v>
      </x:c>
      <x:c r="F28" s="3" t="s">
        <x:v>65</x:v>
      </x:c>
      <x:c r="G28" s="4">
        <x:v>46550</x:v>
      </x:c>
      <x:c r="H28" s="3"/>
      <x:c r="I28" s="6" t="n">
        <x:f>IF($D28="","",SUMIFS('5 Žaliavų perdavimai'!$E$4:$E$203,'5 Žaliavų perdavimai'!$D$4:$D$203,$D28))</x:f>
        <x:v>0</x:v>
      </x:c>
      <x:c r="J28" s="39" t="n">
        <x:v>0</x:v>
      </x:c>
    </x:row>
    <x:row r="29">
      <x:c r="A29" s="4">
        <x:v>46223</x:v>
      </x:c>
      <x:c r="B29" s="3" t="s">
        <x:v>15</x:v>
      </x:c>
      <x:c r="C29" s="5">
        <x:v>100</x:v>
      </x:c>
      <x:c r="D29" s="16" t="s">
        <x:v>67</x:v>
      </x:c>
      <x:c r="E29" s="3" t="s">
        <x:v>14</x:v>
      </x:c>
      <x:c r="F29" s="3" t="s">
        <x:v>65</x:v>
      </x:c>
      <x:c r="G29" s="4">
        <x:v>46227</x:v>
      </x:c>
      <x:c r="H29" s="3"/>
      <x:c r="I29" s="6" t="n">
        <x:f>IF($D29="","",SUMIFS('5 Žaliavų perdavimai'!$E$4:$E$203,'5 Žaliavų perdavimai'!$D$4:$D$203,$D29))</x:f>
        <x:v>0</x:v>
      </x:c>
      <x:c r="J29" s="39" t="n">
        <x:v>0</x:v>
      </x:c>
    </x:row>
    <x:row r="30">
      <x:c r="A30" s="4">
        <x:v>46223</x:v>
      </x:c>
      <x:c r="B30" s="3" t="s">
        <x:v>20</x:v>
      </x:c>
      <x:c r="C30" s="5">
        <x:v>150</x:v>
      </x:c>
      <x:c r="D30" s="16" t="s">
        <x:v>68</x:v>
      </x:c>
      <x:c r="E30" s="3" t="s">
        <x:v>22</x:v>
      </x:c>
      <x:c r="F30" s="3" t="s">
        <x:v>69</x:v>
      </x:c>
      <x:c r="G30" s="4">
        <x:v>46234</x:v>
      </x:c>
      <x:c r="H30" s="3"/>
      <x:c r="I30" s="6" t="n">
        <x:f>IF($D30="","",SUMIFS('5 Žaliavų perdavimai'!$E$4:$E$203,'5 Žaliavų perdavimai'!$D$4:$D$203,$D30))</x:f>
        <x:v>0</x:v>
      </x:c>
      <x:c r="J30" s="39" t="n">
        <x:v>0</x:v>
      </x:c>
    </x:row>
    <x:row r="31">
      <x:c r="A31" s="4">
        <x:v>46227</x:v>
      </x:c>
      <x:c r="B31" s="3" t="s">
        <x:v>20</x:v>
      </x:c>
      <x:c r="C31" s="5">
        <x:v>150</x:v>
      </x:c>
      <x:c r="D31" s="16" t="s">
        <x:v>70</x:v>
      </x:c>
      <x:c r="E31" s="3" t="s">
        <x:v>22</x:v>
      </x:c>
      <x:c r="F31" s="3" t="s">
        <x:v>71</x:v>
      </x:c>
      <x:c r="G31" s="4">
        <x:v>46237</x:v>
      </x:c>
      <x:c r="H31" s="3"/>
      <x:c r="I31" s="6" t="n">
        <x:f>IF($D31="","",SUMIFS('5 Žaliavų perdavimai'!$E$4:$E$203,'5 Žaliavų perdavimai'!$D$4:$D$203,$D31))</x:f>
        <x:v>0</x:v>
      </x:c>
      <x:c r="J31" s="39" t="n">
        <x:v>0</x:v>
      </x:c>
    </x:row>
    <x:row r="32">
      <x:c r="A32" s="4">
        <x:v>46230</x:v>
      </x:c>
      <x:c r="B32" s="3" t="s">
        <x:v>23</x:v>
      </x:c>
      <x:c r="C32" s="5">
        <x:v>800</x:v>
      </x:c>
      <x:c r="D32" s="16" t="s">
        <x:v>72</x:v>
      </x:c>
      <x:c r="E32" s="3" t="s">
        <x:v>14</x:v>
      </x:c>
      <x:c r="F32" s="3" t="s">
        <x:v>73</x:v>
      </x:c>
      <x:c r="G32" s="4">
        <x:v>46388</x:v>
      </x:c>
      <x:c r="H32" s="3"/>
      <x:c r="I32" s="6" t="n">
        <x:f>IF($D32="","",SUMIFS('5 Žaliavų perdavimai'!$E$4:$E$203,'5 Žaliavų perdavimai'!$D$4:$D$203,$D32))</x:f>
        <x:v>0</x:v>
      </x:c>
      <x:c r="J32" s="39" t="n">
        <x:v>0</x:v>
      </x:c>
    </x:row>
    <x:row r="33">
      <x:c r="A33" s="4">
        <x:v>46230</x:v>
      </x:c>
      <x:c r="B33" s="3" t="s">
        <x:v>12</x:v>
      </x:c>
      <x:c r="C33" s="5">
        <x:v>800</x:v>
      </x:c>
      <x:c r="D33" s="16" t="s">
        <x:v>74</x:v>
      </x:c>
      <x:c r="E33" s="3" t="s">
        <x:v>14</x:v>
      </x:c>
      <x:c r="F33" s="3" t="s">
        <x:v>73</x:v>
      </x:c>
      <x:c r="G33" s="4">
        <x:v>46547</x:v>
      </x:c>
      <x:c r="H33" s="3"/>
      <x:c r="I33" s="6" t="n">
        <x:f>IF($D33="","",SUMIFS('5 Žaliavų perdavimai'!$E$4:$E$203,'5 Žaliavų perdavimai'!$D$4:$D$203,$D33))</x:f>
        <x:v>0</x:v>
      </x:c>
      <x:c r="J33" s="39" t="n">
        <x:v>0</x:v>
      </x:c>
    </x:row>
    <x:row r="34">
      <x:c r="A34" s="4">
        <x:v>46230</x:v>
      </x:c>
      <x:c r="B34" s="3" t="s">
        <x:v>15</x:v>
      </x:c>
      <x:c r="C34" s="5">
        <x:v>100</x:v>
      </x:c>
      <x:c r="D34" s="16" t="s">
        <x:v>75</x:v>
      </x:c>
      <x:c r="E34" s="3" t="s">
        <x:v>14</x:v>
      </x:c>
      <x:c r="F34" s="3" t="s">
        <x:v>73</x:v>
      </x:c>
      <x:c r="G34" s="4">
        <x:v>46234</x:v>
      </x:c>
      <x:c r="H34" s="3"/>
      <x:c r="I34" s="6" t="n">
        <x:f>IF($D34="","",SUMIFS('5 Žaliavų perdavimai'!$E$4:$E$203,'5 Žaliavų perdavimai'!$D$4:$D$203,$D34))</x:f>
        <x:v>0</x:v>
      </x:c>
      <x:c r="J34" s="39" t="n">
        <x:v>0</x:v>
      </x:c>
    </x:row>
    <x:row r="35">
      <x:c r="A35" s="4">
        <x:v>46232</x:v>
      </x:c>
      <x:c r="B35" s="3" t="s">
        <x:v>20</x:v>
      </x:c>
      <x:c r="C35" s="5">
        <x:v>150</x:v>
      </x:c>
      <x:c r="D35" s="16" t="s">
        <x:v>76</x:v>
      </x:c>
      <x:c r="E35" s="3" t="s">
        <x:v>22</x:v>
      </x:c>
      <x:c r="F35" s="3" t="s">
        <x:v>77</x:v>
      </x:c>
      <x:c r="G35" s="4">
        <x:v>46241</x:v>
      </x:c>
      <x:c r="H35" s="3"/>
      <x:c r="I35" s="6" t="n">
        <x:f>IF($D35="","",SUMIFS('5 Žaliavų perdavimai'!$E$4:$E$203,'5 Žaliavų perdavimai'!$D$4:$D$203,$D35))</x:f>
        <x:v>0</x:v>
      </x:c>
      <x:c r="J35" s="39" t="n">
        <x:v>0</x:v>
      </x:c>
    </x:row>
    <x:row r="36">
      <x:c r="A36" s="4">
        <x:v>46232</x:v>
      </x:c>
      <x:c r="B36" s="3" t="s">
        <x:v>15</x:v>
      </x:c>
      <x:c r="C36" s="5">
        <x:v>120</x:v>
      </x:c>
      <x:c r="D36" s="16" t="s">
        <x:v>78</x:v>
      </x:c>
      <x:c r="E36" s="3" t="s">
        <x:v>14</x:v>
      </x:c>
      <x:c r="F36" s="3" t="s">
        <x:v>79</x:v>
      </x:c>
      <x:c r="G36" s="4">
        <x:v>46238</x:v>
      </x:c>
      <x:c r="H36" s="3"/>
      <x:c r="I36" s="6" t="n">
        <x:f>IF($D36="","",SUMIFS('5 Žaliavų perdavimai'!$E$4:$E$203,'5 Žaliavų perdavimai'!$D$4:$D$203,$D36))</x:f>
        <x:v>0</x:v>
      </x:c>
      <x:c r="J36" s="39" t="n">
        <x:v>0</x:v>
      </x:c>
    </x:row>
    <x:row r="37">
      <x:c r="A37" s="4">
        <x:v>46233</x:v>
      </x:c>
      <x:c r="B37" s="3" t="s">
        <x:v>28</x:v>
      </x:c>
      <x:c r="C37" s="5">
        <x:v>1440</x:v>
      </x:c>
      <x:c r="D37" s="16" t="s">
        <x:v>80</x:v>
      </x:c>
      <x:c r="E37" s="3" t="s">
        <x:v>30</x:v>
      </x:c>
      <x:c r="F37" s="3" t="s">
        <x:v>81</x:v>
      </x:c>
      <x:c r="G37" s="4">
        <x:v>46322</x:v>
      </x:c>
      <x:c r="H37" s="3"/>
      <x:c r="I37" s="6" t="n">
        <x:f>IF($D37="","",SUMIFS('5 Žaliavų perdavimai'!$E$4:$E$203,'5 Žaliavų perdavimai'!$D$4:$D$203,$D37))</x:f>
        <x:v>0</x:v>
      </x:c>
      <x:c r="J37" s="39" t="n">
        <x:v>80.84838144799983</x:v>
      </x:c>
    </x:row>
    <x:row r="38">
      <x:c r="A38" s="4">
        <x:v>46233</x:v>
      </x:c>
      <x:c r="B38" s="3" t="s">
        <x:v>31</x:v>
      </x:c>
      <x:c r="C38" s="5">
        <x:v>900</x:v>
      </x:c>
      <x:c r="D38" s="16" t="s">
        <x:v>82</x:v>
      </x:c>
      <x:c r="E38" s="3" t="s">
        <x:v>33</x:v>
      </x:c>
      <x:c r="F38" s="3">
        <x:v>175076452</x:v>
      </x:c>
      <x:c r="G38" s="4">
        <x:v>46401</x:v>
      </x:c>
      <x:c r="H38" s="3"/>
      <x:c r="I38" s="6" t="n">
        <x:f>IF($D38="","",SUMIFS('5 Žaliavų perdavimai'!$E$4:$E$203,'5 Žaliavų perdavimai'!$D$4:$D$203,$D38))</x:f>
        <x:v>0</x:v>
      </x:c>
      <x:c r="J38" s="39" t="n">
        <x:v>250.8591852799999</x:v>
      </x:c>
    </x:row>
    <x:row r="39">
      <x:c r="A39" s="4">
        <x:v>46233</x:v>
      </x:c>
      <x:c r="B39" s="3" t="s">
        <x:v>23</x:v>
      </x:c>
      <x:c r="C39" s="5">
        <x:v>800</x:v>
      </x:c>
      <x:c r="D39" s="16" t="s">
        <x:v>83</x:v>
      </x:c>
      <x:c r="E39" s="3" t="s">
        <x:v>33</x:v>
      </x:c>
      <x:c r="F39" s="3">
        <x:v>175076452</x:v>
      </x:c>
      <x:c r="G39" s="4">
        <x:v>46388</x:v>
      </x:c>
      <x:c r="H39" s="3"/>
      <x:c r="I39" s="6" t="n">
        <x:f>IF($D39="","",SUMIFS('5 Žaliavų perdavimai'!$E$4:$E$203,'5 Žaliavų perdavimai'!$D$4:$D$203,$D39))</x:f>
        <x:v>0</x:v>
      </x:c>
      <x:c r="J39" s="39" t="n">
        <x:v>0</x:v>
      </x:c>
    </x:row>
    <x:row r="40">
      <x:c r="A40" s="4">
        <x:v>46233</x:v>
      </x:c>
      <x:c r="B40" s="3" t="s">
        <x:v>37</x:v>
      </x:c>
      <x:c r="C40" s="5">
        <x:v>500</x:v>
      </x:c>
      <x:c r="D40" s="16" t="s">
        <x:v>84</x:v>
      </x:c>
      <x:c r="E40" s="3" t="s">
        <x:v>39</x:v>
      </x:c>
      <x:c r="F40" s="3" t="s">
        <x:v>85</x:v>
      </x:c>
      <x:c r="G40" s="4">
        <x:v>46546</x:v>
      </x:c>
      <x:c r="H40" s="3"/>
      <x:c r="I40" s="6" t="n">
        <x:f>IF($D40="","",SUMIFS('5 Žaliavų perdavimai'!$E$4:$E$203,'5 Žaliavų perdavimai'!$D$4:$D$203,$D40))</x:f>
        <x:v>0</x:v>
      </x:c>
      <x:c r="J40" s="39" t="n">
        <x:v>415.80006547199997</x:v>
      </x:c>
    </x:row>
    <x:row r="41">
      <x:c r="A41" s="4">
        <x:v>46234</x:v>
      </x:c>
      <x:c r="B41" s="3" t="s">
        <x:v>20</x:v>
      </x:c>
      <x:c r="C41" s="5">
        <x:v>150</x:v>
      </x:c>
      <x:c r="D41" s="16" t="s">
        <x:v>86</x:v>
      </x:c>
      <x:c r="E41" s="3" t="s">
        <x:v>22</x:v>
      </x:c>
      <x:c r="F41" s="3" t="s">
        <x:v>87</x:v>
      </x:c>
      <x:c r="G41" s="4">
        <x:v>46239</x:v>
      </x:c>
      <x:c r="H41" s="3"/>
      <x:c r="I41" s="6" t="n">
        <x:f>IF($D41="","",SUMIFS('5 Žaliavų perdavimai'!$E$4:$E$203,'5 Žaliavų perdavimai'!$D$4:$D$203,$D41))</x:f>
        <x:v>0</x:v>
      </x:c>
      <x:c r="J41" s="39" t="n">
        <x:v>12.000030400000014</x:v>
      </x:c>
    </x:row>
    <x:row r="42">
      <x:c r="A42" s="4">
        <x:v>46237</x:v>
      </x:c>
      <x:c r="B42" s="3" t="s">
        <x:v>20</x:v>
      </x:c>
      <x:c r="C42" s="5">
        <x:v>100</x:v>
      </x:c>
      <x:c r="D42" s="16" t="s">
        <x:v>88</x:v>
      </x:c>
      <x:c r="E42" s="3" t="s">
        <x:v>22</x:v>
      </x:c>
      <x:c r="F42" s="3" t="s">
        <x:v>89</x:v>
      </x:c>
      <x:c r="G42" s="4">
        <x:v>46239</x:v>
      </x:c>
      <x:c r="H42" s="3"/>
      <x:c r="I42" s="6" t="n">
        <x:f>IF($D42="","",SUMIFS('5 Žaliavų perdavimai'!$E$4:$E$203,'5 Žaliavų perdavimai'!$D$4:$D$203,$D42))</x:f>
        <x:v>0</x:v>
      </x:c>
      <x:c r="J42" s="39" t="n">
        <x:v>100</x:v>
      </x:c>
    </x:row>
    <x:row r="43">
      <x:c r="A43" s="4">
        <x:v>46237</x:v>
      </x:c>
      <x:c r="B43" s="3" t="s">
        <x:v>15</x:v>
      </x:c>
      <x:c r="C43" s="5">
        <x:v>120</x:v>
      </x:c>
      <x:c r="D43" s="16" t="s">
        <x:v>90</x:v>
      </x:c>
      <x:c r="E43" s="3" t="s">
        <x:v>14</x:v>
      </x:c>
      <x:c r="F43" s="3" t="s">
        <x:v>91</x:v>
      </x:c>
      <x:c r="G43" s="4">
        <x:v>46241</x:v>
      </x:c>
      <x:c r="H43" s="3"/>
      <x:c r="I43" s="6" t="n">
        <x:f>IF($D43="","",SUMIFS('5 Žaliavų perdavimai'!$E$4:$E$203,'5 Žaliavų perdavimai'!$D$4:$D$203,$D43))</x:f>
        <x:v>0</x:v>
      </x:c>
      <x:c r="J43" s="39" t="n">
        <x:v>0</x:v>
      </x:c>
    </x:row>
    <x:row r="44">
      <x:c r="A44" s="4">
        <x:v>46237</x:v>
      </x:c>
      <x:c r="B44" s="3" t="s">
        <x:v>12</x:v>
      </x:c>
      <x:c r="C44" s="5">
        <x:v>800</x:v>
      </x:c>
      <x:c r="D44" s="16" t="s">
        <x:v>92</x:v>
      </x:c>
      <x:c r="E44" s="3" t="s">
        <x:v>14</x:v>
      </x:c>
      <x:c r="F44" s="3" t="s">
        <x:v>91</x:v>
      </x:c>
      <x:c r="G44" s="4">
        <x:v>46581</x:v>
      </x:c>
      <x:c r="H44" s="3"/>
      <x:c r="I44" s="6" t="n">
        <x:f>IF($D44="","",SUMIFS('5 Žaliavų perdavimai'!$E$4:$E$203,'5 Žaliavų perdavimai'!$D$4:$D$203,$D44))</x:f>
        <x:v>0</x:v>
      </x:c>
      <x:c r="J44" s="39" t="n">
        <x:v>0</x:v>
      </x:c>
    </x:row>
    <x:row r="45">
      <x:c r="A45" s="4">
        <x:v>46237</x:v>
      </x:c>
      <x:c r="B45" s="3" t="s">
        <x:v>17</x:v>
      </x:c>
      <x:c r="C45" s="5">
        <x:v>2592</x:v>
      </x:c>
      <x:c r="D45" s="16" t="s">
        <x:v>93</x:v>
      </x:c>
      <x:c r="E45" s="3" t="s">
        <x:v>19</x:v>
      </x:c>
      <x:c r="F45" s="3" t="s">
        <x:v>94</x:v>
      </x:c>
      <x:c r="G45" s="4">
        <x:v>46257</x:v>
      </x:c>
      <x:c r="H45" s="3"/>
      <x:c r="I45" s="6" t="n">
        <x:f>IF($D45="","",SUMIFS('5 Žaliavų perdavimai'!$E$4:$E$203,'5 Žaliavų perdavimai'!$D$4:$D$203,$D45))</x:f>
        <x:v>0</x:v>
      </x:c>
      <x:c r="J45" s="39" t="n">
        <x:v>0</x:v>
      </x:c>
    </x:row>
    <x:row r="46">
      <x:c r="A46" s="4">
        <x:v>46239</x:v>
      </x:c>
      <x:c r="B46" s="3" t="s">
        <x:v>20</x:v>
      </x:c>
      <x:c r="C46" s="5">
        <x:v>150</x:v>
      </x:c>
      <x:c r="D46" s="16" t="s">
        <x:v>95</x:v>
      </x:c>
      <x:c r="E46" s="3" t="s">
        <x:v>22</x:v>
      </x:c>
      <x:c r="F46" s="3" t="s">
        <x:v>96</x:v>
      </x:c>
      <x:c r="G46" s="4">
        <x:v>46248</x:v>
      </x:c>
      <x:c r="H46" s="3"/>
      <x:c r="I46" s="6" t="n">
        <x:f>IF($D46="","",SUMIFS('5 Žaliavų perdavimai'!$E$4:$E$203,'5 Žaliavų perdavimai'!$D$4:$D$203,$D46))</x:f>
        <x:v>0</x:v>
      </x:c>
      <x:c r="J46" s="39" t="n">
        <x:v>0</x:v>
      </x:c>
    </x:row>
    <x:row r="47">
      <x:c r="A47" s="4">
        <x:v>46239</x:v>
      </x:c>
      <x:c r="B47" s="3" t="s">
        <x:v>15</x:v>
      </x:c>
      <x:c r="C47" s="5">
        <x:v>120</x:v>
      </x:c>
      <x:c r="D47" s="16" t="s">
        <x:v>97</x:v>
      </x:c>
      <x:c r="E47" s="3" t="s">
        <x:v>14</x:v>
      </x:c>
      <x:c r="F47" s="3" t="s">
        <x:v>98</x:v>
      </x:c>
      <x:c r="G47" s="4">
        <x:v>46245</x:v>
      </x:c>
      <x:c r="H47" s="3"/>
      <x:c r="I47" s="6" t="n">
        <x:f>IF($D47="","",SUMIFS('5 Žaliavų perdavimai'!$E$4:$E$203,'5 Žaliavų perdavimai'!$D$4:$D$203,$D47))</x:f>
        <x:v>0</x:v>
      </x:c>
      <x:c r="J47" s="39" t="n">
        <x:v>0</x:v>
      </x:c>
    </x:row>
    <x:row r="48">
      <x:c r="A48" s="4">
        <x:v>46239</x:v>
      </x:c>
      <x:c r="B48" s="3" t="s">
        <x:v>12</x:v>
      </x:c>
      <x:c r="C48" s="5">
        <x:v>800</x:v>
      </x:c>
      <x:c r="D48" s="16" t="s">
        <x:v>99</x:v>
      </x:c>
      <x:c r="E48" s="3" t="s">
        <x:v>14</x:v>
      </x:c>
      <x:c r="F48" s="3" t="s">
        <x:v>98</x:v>
      </x:c>
      <x:c r="G48" s="4">
        <x:v>46577</x:v>
      </x:c>
      <x:c r="H48" s="3"/>
      <x:c r="I48" s="6" t="n">
        <x:f>IF($D48="","",SUMIFS('5 Žaliavų perdavimai'!$E$4:$E$203,'5 Žaliavų perdavimai'!$D$4:$D$203,$D48))</x:f>
        <x:v>0</x:v>
      </x:c>
      <x:c r="J48" s="39" t="n">
        <x:v>0</x:v>
      </x:c>
    </x:row>
    <x:row r="49">
      <x:c r="A49" s="4">
        <x:v>46239</x:v>
      </x:c>
      <x:c r="B49" s="3" t="s">
        <x:v>25</x:v>
      </x:c>
      <x:c r="C49" s="5">
        <x:v>25</x:v>
      </x:c>
      <x:c r="D49" s="16" t="s">
        <x:v>100</x:v>
      </x:c>
      <x:c r="E49" s="3" t="s">
        <x:v>27</x:v>
      </x:c>
      <x:c r="F49" s="3" t="s">
        <x:v>101</x:v>
      </x:c>
      <x:c r="G49" s="4">
        <x:v>46895</x:v>
      </x:c>
      <x:c r="H49" s="3"/>
      <x:c r="I49" s="6" t="n">
        <x:f>IF($D49="","",SUMIFS('5 Žaliavų perdavimai'!$E$4:$E$203,'5 Žaliavų perdavimai'!$D$4:$D$203,$D49))</x:f>
        <x:v>0</x:v>
      </x:c>
      <x:c r="J49" s="39" t="n">
        <x:v>8.430453986</x:v>
      </x:c>
    </x:row>
    <x:row r="50">
      <x:c r="A50" s="4">
        <x:v>46244</x:v>
      </x:c>
      <x:c r="B50" s="3" t="s">
        <x:v>15</x:v>
      </x:c>
      <x:c r="C50" s="5">
        <x:v>100</x:v>
      </x:c>
      <x:c r="D50" s="16" t="s">
        <x:v>102</x:v>
      </x:c>
      <x:c r="E50" s="3" t="s">
        <x:v>14</x:v>
      </x:c>
      <x:c r="F50" s="3" t="s">
        <x:v>103</x:v>
      </x:c>
      <x:c r="G50" s="4">
        <x:v>46248</x:v>
      </x:c>
      <x:c r="H50" s="3"/>
      <x:c r="I50" s="6" t="n">
        <x:f>IF($D50="","",SUMIFS('5 Žaliavų perdavimai'!$E$4:$E$203,'5 Žaliavų perdavimai'!$D$4:$D$203,$D50))</x:f>
        <x:v>0</x:v>
      </x:c>
      <x:c r="J50" s="39" t="n">
        <x:v>0</x:v>
      </x:c>
    </x:row>
    <x:row r="51">
      <x:c r="A51" s="4">
        <x:v>46244</x:v>
      </x:c>
      <x:c r="B51" s="3" t="s">
        <x:v>17</x:v>
      </x:c>
      <x:c r="C51" s="5">
        <x:v>1944</x:v>
      </x:c>
      <x:c r="D51" s="16" t="s">
        <x:v>104</x:v>
      </x:c>
      <x:c r="E51" s="3" t="s">
        <x:v>19</x:v>
      </x:c>
      <x:c r="F51" s="3" t="s">
        <x:v>105</x:v>
      </x:c>
      <x:c r="G51" s="4">
        <x:v>46264</x:v>
      </x:c>
      <x:c r="H51" s="3"/>
      <x:c r="I51" s="6" t="n">
        <x:f>IF($D51="","",SUMIFS('5 Žaliavų perdavimai'!$E$4:$E$203,'5 Žaliavų perdavimai'!$D$4:$D$203,$D51))</x:f>
        <x:v>0</x:v>
      </x:c>
      <x:c r="J51" s="39" t="n">
        <x:v>458.3959994400004</x:v>
      </x:c>
    </x:row>
    <x:row r="52">
      <x:c r="A52" s="4">
        <x:v>46244</x:v>
      </x:c>
      <x:c r="B52" s="3" t="s">
        <x:v>20</x:v>
      </x:c>
      <x:c r="C52" s="5">
        <x:v>150</x:v>
      </x:c>
      <x:c r="D52" s="16" t="s">
        <x:v>106</x:v>
      </x:c>
      <x:c r="E52" s="3" t="s">
        <x:v>22</x:v>
      </x:c>
      <x:c r="F52" s="3" t="s">
        <x:v>107</x:v>
      </x:c>
      <x:c r="G52" s="4">
        <x:v>46251</x:v>
      </x:c>
      <x:c r="H52" s="3"/>
      <x:c r="I52" s="6" t="n">
        <x:f>IF($D52="","",SUMIFS('5 Žaliavų perdavimai'!$E$4:$E$203,'5 Žaliavų perdavimai'!$D$4:$D$203,$D52))</x:f>
        <x:v>0</x:v>
      </x:c>
      <x:c r="J52" s="39" t="n">
        <x:v>0</x:v>
      </x:c>
    </x:row>
    <x:row r="53">
      <x:c r="A53" s="4">
        <x:v>46246</x:v>
      </x:c>
      <x:c r="B53" s="3" t="s">
        <x:v>20</x:v>
      </x:c>
      <x:c r="C53" s="5">
        <x:v>150</x:v>
      </x:c>
      <x:c r="D53" s="16" t="s">
        <x:v>108</x:v>
      </x:c>
      <x:c r="E53" s="3" t="s">
        <x:v>22</x:v>
      </x:c>
      <x:c r="F53" s="3" t="s">
        <x:v>109</x:v>
      </x:c>
      <x:c r="G53" s="4">
        <x:v>46255</x:v>
      </x:c>
      <x:c r="H53" s="3"/>
      <x:c r="I53" s="6" t="n">
        <x:f>IF($D53="","",SUMIFS('5 Žaliavų perdavimai'!$E$4:$E$203,'5 Žaliavų perdavimai'!$D$4:$D$203,$D53))</x:f>
        <x:v>0</x:v>
      </x:c>
      <x:c r="J53" s="39" t="n">
        <x:v>0</x:v>
      </x:c>
    </x:row>
    <x:row r="54">
      <x:c r="A54" s="4">
        <x:v>46246</x:v>
      </x:c>
      <x:c r="B54" s="3" t="s">
        <x:v>15</x:v>
      </x:c>
      <x:c r="C54" s="5">
        <x:v>250</x:v>
      </x:c>
      <x:c r="D54" s="16" t="s">
        <x:v>110</x:v>
      </x:c>
      <x:c r="E54" s="3" t="s">
        <x:v>14</x:v>
      </x:c>
      <x:c r="F54" s="3" t="s">
        <x:v>111</x:v>
      </x:c>
      <x:c r="G54" s="4">
        <x:v>46252</x:v>
      </x:c>
      <x:c r="H54" s="3"/>
      <x:c r="I54" s="6" t="n">
        <x:f>IF($D54="","",SUMIFS('5 Žaliavų perdavimai'!$E$4:$E$203,'5 Žaliavų perdavimai'!$D$4:$D$203,$D54))</x:f>
        <x:v>0</x:v>
      </x:c>
      <x:c r="J54" s="39" t="n">
        <x:v>109.65011205599998</x:v>
      </x:c>
    </x:row>
    <x:row r="55">
      <x:c r="A55" s="4">
        <x:v>46246</x:v>
      </x:c>
      <x:c r="B55" s="3" t="s">
        <x:v>23</x:v>
      </x:c>
      <x:c r="C55" s="5">
        <x:v>800</x:v>
      </x:c>
      <x:c r="D55" s="16" t="s">
        <x:v>112</x:v>
      </x:c>
      <x:c r="E55" s="3" t="s">
        <x:v>14</x:v>
      </x:c>
      <x:c r="F55" s="3" t="s">
        <x:v>111</x:v>
      </x:c>
      <x:c r="G55" s="4">
        <x:v>46388</x:v>
      </x:c>
      <x:c r="H55" s="3"/>
      <x:c r="I55" s="6" t="n">
        <x:f>IF($D55="","",SUMIFS('5 Žaliavų perdavimai'!$E$4:$E$203,'5 Žaliavų perdavimai'!$D$4:$D$203,$D55))</x:f>
        <x:v>0</x:v>
      </x:c>
      <x:c r="J55" s="39" t="n">
        <x:v>0</x:v>
      </x:c>
    </x:row>
    <x:row r="56">
      <x:c r="A56" s="4">
        <x:v>46246</x:v>
      </x:c>
      <x:c r="B56" s="3" t="s">
        <x:v>12</x:v>
      </x:c>
      <x:c r="C56" s="5">
        <x:v>800</x:v>
      </x:c>
      <x:c r="D56" s="16" t="s">
        <x:v>113</x:v>
      </x:c>
      <x:c r="E56" s="3" t="s">
        <x:v>14</x:v>
      </x:c>
      <x:c r="F56" s="3" t="s">
        <x:v>111</x:v>
      </x:c>
      <x:c r="G56" s="4">
        <x:v>46589</x:v>
      </x:c>
      <x:c r="H56" s="3"/>
      <x:c r="I56" s="6" t="n">
        <x:f>IF($D56="","",SUMIFS('5 Žaliavų perdavimai'!$E$4:$E$203,'5 Žaliavų perdavimai'!$D$4:$D$203,$D56))</x:f>
        <x:v>0</x:v>
      </x:c>
      <x:c r="J56" s="39" t="n">
        <x:v>0</x:v>
      </x:c>
    </x:row>
    <x:row r="57">
      <x:c r="A57" s="4">
        <x:v>46251</x:v>
      </x:c>
      <x:c r="B57" s="3" t="s">
        <x:v>15</x:v>
      </x:c>
      <x:c r="C57" s="5">
        <x:v>50</x:v>
      </x:c>
      <x:c r="D57" s="16" t="s">
        <x:v>114</x:v>
      </x:c>
      <x:c r="E57" s="3" t="s">
        <x:v>14</x:v>
      </x:c>
      <x:c r="F57" s="3" t="s">
        <x:v>115</x:v>
      </x:c>
      <x:c r="G57" s="4">
        <x:v>46255</x:v>
      </x:c>
      <x:c r="H57" s="3"/>
      <x:c r="I57" s="6" t="n">
        <x:f>IF($D57="","",SUMIFS('5 Žaliavų perdavimai'!$E$4:$E$203,'5 Žaliavų perdavimai'!$D$4:$D$203,$D57))</x:f>
        <x:v>0</x:v>
      </x:c>
      <x:c r="J57" s="39" t="n">
        <x:v>0</x:v>
      </x:c>
    </x:row>
    <x:row r="58">
      <x:c r="A58" s="4">
        <x:v>46251</x:v>
      </x:c>
      <x:c r="B58" s="3" t="s">
        <x:v>20</x:v>
      </x:c>
      <x:c r="C58" s="5">
        <x:v>150</x:v>
      </x:c>
      <x:c r="D58" s="16" t="s">
        <x:v>116</x:v>
      </x:c>
      <x:c r="E58" s="3" t="s">
        <x:v>22</x:v>
      </x:c>
      <x:c r="F58" s="3" t="s">
        <x:v>117</x:v>
      </x:c>
      <x:c r="G58" s="4">
        <x:v>46258</x:v>
      </x:c>
      <x:c r="H58" s="3"/>
      <x:c r="I58" s="6" t="n">
        <x:f>IF($D58="","",SUMIFS('5 Žaliavų perdavimai'!$E$4:$E$203,'5 Žaliavų perdavimai'!$D$4:$D$203,$D58))</x:f>
        <x:v>0</x:v>
      </x:c>
      <x:c r="J58" s="39" t="n">
        <x:v>38.400059279999994</x:v>
      </x:c>
    </x:row>
    <x:row r="59">
      <x:c r="A59" s="4">
        <x:v>46253</x:v>
      </x:c>
      <x:c r="B59" s="3" t="s">
        <x:v>15</x:v>
      </x:c>
      <x:c r="C59" s="5">
        <x:v>150</x:v>
      </x:c>
      <x:c r="D59" s="16" t="s">
        <x:v>118</x:v>
      </x:c>
      <x:c r="E59" s="3" t="s">
        <x:v>14</x:v>
      </x:c>
      <x:c r="F59" s="3" t="s">
        <x:v>119</x:v>
      </x:c>
      <x:c r="G59" s="4">
        <x:v>46259</x:v>
      </x:c>
      <x:c r="H59" s="3"/>
      <x:c r="I59" s="6" t="n">
        <x:f>IF($D59="","",SUMIFS('5 Žaliavų perdavimai'!$E$4:$E$203,'5 Žaliavų perdavimai'!$D$4:$D$203,$D59))</x:f>
        <x:v>0</x:v>
      </x:c>
      <x:c r="J59" s="39" t="n">
        <x:v>56.150023016000006</x:v>
      </x:c>
    </x:row>
    <x:row r="60">
      <x:c r="A60" s="4">
        <x:v>46253</x:v>
      </x:c>
      <x:c r="B60" s="3" t="s">
        <x:v>12</x:v>
      </x:c>
      <x:c r="C60" s="5">
        <x:v>800</x:v>
      </x:c>
      <x:c r="D60" s="16" t="s">
        <x:v>120</x:v>
      </x:c>
      <x:c r="E60" s="3" t="s">
        <x:v>14</x:v>
      </x:c>
      <x:c r="F60" s="3" t="s">
        <x:v>119</x:v>
      </x:c>
      <x:c r="G60" s="4">
        <x:v>46602</x:v>
      </x:c>
      <x:c r="H60" s="3"/>
      <x:c r="I60" s="6" t="n">
        <x:f>IF($D60="","",SUMIFS('5 Žaliavų perdavimai'!$E$4:$E$203,'5 Žaliavų perdavimai'!$D$4:$D$203,$D60))</x:f>
        <x:v>0</x:v>
      </x:c>
      <x:c r="J60" s="39" t="n">
        <x:v>0</x:v>
      </x:c>
    </x:row>
    <x:row r="61">
      <x:c r="A61" s="4">
        <x:v>46253</x:v>
      </x:c>
      <x:c r="B61" s="3" t="s">
        <x:v>23</x:v>
      </x:c>
      <x:c r="C61" s="5">
        <x:v>800</x:v>
      </x:c>
      <x:c r="D61" s="16" t="s">
        <x:v>121</x:v>
      </x:c>
      <x:c r="E61" s="3" t="s">
        <x:v>14</x:v>
      </x:c>
      <x:c r="F61" s="3" t="s">
        <x:v>119</x:v>
      </x:c>
      <x:c r="G61" s="4">
        <x:v>46388</x:v>
      </x:c>
      <x:c r="H61" s="3"/>
      <x:c r="I61" s="6" t="n">
        <x:f>IF($D61="","",SUMIFS('5 Žaliavų perdavimai'!$E$4:$E$203,'5 Žaliavų perdavimai'!$D$4:$D$203,$D61))</x:f>
        <x:v>0</x:v>
      </x:c>
      <x:c r="J61" s="39" t="n">
        <x:v>760.8487654479998</x:v>
      </x:c>
    </x:row>
    <x:row r="62">
      <x:c r="A62" s="4">
        <x:v>46254</x:v>
      </x:c>
      <x:c r="B62" s="3" t="s">
        <x:v>31</x:v>
      </x:c>
      <x:c r="C62" s="5">
        <x:v>900</x:v>
      </x:c>
      <x:c r="D62" s="16" t="s">
        <x:v>122</x:v>
      </x:c>
      <x:c r="E62" s="3" t="s">
        <x:v>33</x:v>
      </x:c>
      <x:c r="F62" s="3">
        <x:v>175077518</x:v>
      </x:c>
      <x:c r="G62" s="4">
        <x:v>46401</x:v>
      </x:c>
      <x:c r="H62" s="3"/>
      <x:c r="I62" s="6" t="n">
        <x:f>IF($D62="","",SUMIFS('5 Žaliavų perdavimai'!$E$4:$E$203,'5 Žaliavų perdavimai'!$D$4:$D$203,$D62))</x:f>
        <x:v>0</x:v>
      </x:c>
      <x:c r="J62" s="39" t="n">
        <x:v>900</x:v>
      </x:c>
    </x:row>
    <x:row r="63">
      <x:c r="A63" s="4">
        <x:v>46254</x:v>
      </x:c>
      <x:c r="B63" s="3" t="s">
        <x:v>17</x:v>
      </x:c>
      <x:c r="C63" s="5">
        <x:v>1944</x:v>
      </x:c>
      <x:c r="D63" s="16" t="s">
        <x:v>123</x:v>
      </x:c>
      <x:c r="E63" s="3" t="s">
        <x:v>19</x:v>
      </x:c>
      <x:c r="F63" s="3" t="s">
        <x:v>124</x:v>
      </x:c>
      <x:c r="G63" s="4">
        <x:v>46273</x:v>
      </x:c>
      <x:c r="H63" s="3"/>
      <x:c r="I63" s="6" t="n">
        <x:f>IF($D63="","",SUMIFS('5 Žaliavų perdavimai'!$E$4:$E$203,'5 Žaliavų perdavimai'!$D$4:$D$203,$D63))</x:f>
        <x:v>0</x:v>
      </x:c>
      <x:c r="J63" s="39" t="n">
        <x:v>1708.35014864</x:v>
      </x:c>
    </x:row>
    <x:row r="64">
      <x:c r="A64" s="4">
        <x:v>46258</x:v>
      </x:c>
      <x:c r="B64" s="3" t="s">
        <x:v>37</x:v>
      </x:c>
      <x:c r="C64" s="5">
        <x:v>800</x:v>
      </x:c>
      <x:c r="D64" s="16" t="s">
        <x:v>125</x:v>
      </x:c>
      <x:c r="E64" s="3" t="s">
        <x:v>39</x:v>
      </x:c>
      <x:c r="F64" s="3" t="s">
        <x:v>126</x:v>
      </x:c>
      <x:c r="G64" s="4">
        <x:v>46392</x:v>
      </x:c>
      <x:c r="H64" s="3"/>
      <x:c r="I64" s="6" t="n">
        <x:f>IF($D64="","",SUMIFS('5 Žaliavų perdavimai'!$E$4:$E$203,'5 Žaliavų perdavimai'!$D$4:$D$203,$D64))</x:f>
        <x:v>0</x:v>
      </x:c>
      <x:c r="J64" s="39" t="n">
        <x:v>800</x:v>
      </x:c>
    </x:row>
    <x:row r="65">
      <x:c r="A65" s="4">
        <x:v>46258</x:v>
      </x:c>
      <x:c r="B65" s="3" t="s">
        <x:v>15</x:v>
      </x:c>
      <x:c r="C65" s="5">
        <x:v>100</x:v>
      </x:c>
      <x:c r="D65" s="16" t="s">
        <x:v>127</x:v>
      </x:c>
      <x:c r="E65" s="3" t="s">
        <x:v>14</x:v>
      </x:c>
      <x:c r="F65" s="3" t="s">
        <x:v>128</x:v>
      </x:c>
      <x:c r="G65" s="4">
        <x:v>46262</x:v>
      </x:c>
      <x:c r="H65" s="3"/>
      <x:c r="I65" s="6" t="n">
        <x:f>IF($D65="","",SUMIFS('5 Žaliavų perdavimai'!$E$4:$E$203,'5 Žaliavų perdavimai'!$D$4:$D$203,$D65))</x:f>
        <x:v>0</x:v>
      </x:c>
      <x:c r="J65" s="39" t="n">
        <x:v>0</x:v>
      </x:c>
    </x:row>
    <x:row r="66">
      <x:c r="A66" s="4">
        <x:v>46258</x:v>
      </x:c>
      <x:c r="B66" s="3" t="s">
        <x:v>20</x:v>
      </x:c>
      <x:c r="C66" s="5">
        <x:v>150</x:v>
      </x:c>
      <x:c r="D66" s="16" t="s">
        <x:v>129</x:v>
      </x:c>
      <x:c r="E66" s="3" t="s">
        <x:v>22</x:v>
      </x:c>
      <x:c r="F66" s="3" t="s">
        <x:v>130</x:v>
      </x:c>
      <x:c r="G66" s="4">
        <x:v>46265</x:v>
      </x:c>
      <x:c r="H66" s="3"/>
      <x:c r="I66" s="6" t="n">
        <x:f>IF($D66="","",SUMIFS('5 Žaliavų perdavimai'!$E$4:$E$203,'5 Žaliavų perdavimai'!$D$4:$D$203,$D66))</x:f>
        <x:v>0</x:v>
      </x:c>
      <x:c r="J66" s="39" t="n">
        <x:v>0</x:v>
      </x:c>
    </x:row>
    <x:row r="67">
      <x:c r="A67" s="4">
        <x:v>46260</x:v>
      </x:c>
      <x:c r="B67" s="3" t="s">
        <x:v>15</x:v>
      </x:c>
      <x:c r="C67" s="5">
        <x:v>50</x:v>
      </x:c>
      <x:c r="D67" s="16" t="s">
        <x:v>131</x:v>
      </x:c>
      <x:c r="E67" s="3" t="s">
        <x:v>14</x:v>
      </x:c>
      <x:c r="F67" s="3" t="s">
        <x:v>132</x:v>
      </x:c>
      <x:c r="G67" s="4">
        <x:v>46266</x:v>
      </x:c>
      <x:c r="H67" s="3"/>
      <x:c r="I67" s="6" t="n">
        <x:f>IF($D67="","",SUMIFS('5 Žaliavų perdavimai'!$E$4:$E$203,'5 Žaliavų perdavimai'!$D$4:$D$203,$D67))</x:f>
        <x:v>0</x:v>
      </x:c>
      <x:c r="J67" s="39" t="n">
        <x:v>0</x:v>
      </x:c>
    </x:row>
    <x:row r="68">
      <x:c r="A68" s="4">
        <x:v>46260</x:v>
      </x:c>
      <x:c r="B68" s="3" t="s">
        <x:v>23</x:v>
      </x:c>
      <x:c r="C68" s="5">
        <x:v>800</x:v>
      </x:c>
      <x:c r="D68" s="16" t="s">
        <x:v>133</x:v>
      </x:c>
      <x:c r="E68" s="3" t="s">
        <x:v>14</x:v>
      </x:c>
      <x:c r="F68" s="3" t="s">
        <x:v>132</x:v>
      </x:c>
      <x:c r="G68" s="4">
        <x:v>46388</x:v>
      </x:c>
      <x:c r="H68" s="3"/>
      <x:c r="I68" s="6" t="n">
        <x:f>IF($D68="","",SUMIFS('5 Žaliavų perdavimai'!$E$4:$E$203,'5 Žaliavų perdavimai'!$D$4:$D$203,$D68))</x:f>
        <x:v>0</x:v>
      </x:c>
      <x:c r="J68" s="39" t="n">
        <x:v>800</x:v>
      </x:c>
    </x:row>
    <x:row r="69">
      <x:c r="A69" s="4">
        <x:v>46260</x:v>
      </x:c>
      <x:c r="B69" s="3" t="s">
        <x:v>12</x:v>
      </x:c>
      <x:c r="C69" s="5">
        <x:v>1600</x:v>
      </x:c>
      <x:c r="D69" s="16" t="s">
        <x:v>134</x:v>
      </x:c>
      <x:c r="E69" s="3" t="s">
        <x:v>14</x:v>
      </x:c>
      <x:c r="F69" s="3" t="s">
        <x:v>132</x:v>
      </x:c>
      <x:c r="G69" s="4">
        <x:v>46605</x:v>
      </x:c>
      <x:c r="H69" s="3"/>
      <x:c r="I69" s="6" t="n">
        <x:f>IF($D69="","",SUMIFS('5 Žaliavų perdavimai'!$E$4:$E$203,'5 Žaliavų perdavimai'!$D$4:$D$203,$D69))</x:f>
        <x:v>0</x:v>
      </x:c>
      <x:c r="J69" s="39" t="n">
        <x:v>1467.5317934399993</x:v>
      </x:c>
    </x:row>
    <x:row r="70">
      <x:c r="A70" s="4">
        <x:v>46265</x:v>
      </x:c>
      <x:c r="B70" s="3" t="s">
        <x:v>15</x:v>
      </x:c>
      <x:c r="C70" s="5">
        <x:v>193</x:v>
      </x:c>
      <x:c r="D70" s="16" t="s">
        <x:v>135</x:v>
      </x:c>
      <x:c r="E70" s="3" t="s">
        <x:v>14</x:v>
      </x:c>
      <x:c r="F70" s="3" t="s">
        <x:v>132</x:v>
      </x:c>
      <x:c r="G70" s="4">
        <x:v>46269</x:v>
      </x:c>
      <x:c r="H70" s="3"/>
      <x:c r="I70" s="6" t="n">
        <x:f>IF($D70="","",SUMIFS('5 Žaliavų perdavimai'!$E$4:$E$203,'5 Žaliavų perdavimai'!$D$4:$D$203,$D70))</x:f>
        <x:v>0</x:v>
      </x:c>
      <x:c r="J70" s="39" t="n">
        <x:v>185.020943644</x:v>
      </x:c>
    </x:row>
    <x:row r="71">
      <x:c r="A71" s="4">
        <x:v>46265</x:v>
      </x:c>
      <x:c r="B71" s="3" t="s">
        <x:v>20</x:v>
      </x:c>
      <x:c r="C71" s="5">
        <x:v>150</x:v>
      </x:c>
      <x:c r="D71" s="16" t="s">
        <x:v>136</x:v>
      </x:c>
      <x:c r="E71" s="3" t="s">
        <x:v>22</x:v>
      </x:c>
      <x:c r="F71" s="3" t="s">
        <x:v>137</x:v>
      </x:c>
      <x:c r="G71" s="4">
        <x:v>46274</x:v>
      </x:c>
      <x:c r="H71" s="3"/>
      <x:c r="I71" s="6" t="n">
        <x:f>IF($D71="","",SUMIFS('5 Žaliavų perdavimai'!$E$4:$E$203,'5 Žaliavų perdavimai'!$D$4:$D$203,$D71))</x:f>
        <x:v>0</x:v>
      </x:c>
      <x:c r="J71" s="39" t="n">
        <x:v>92.40000608</x:v>
      </x:c>
    </x:row>
    <x:row r="72">
      <x:c r="A72" s="4">
        <x:v>46266</x:v>
      </x:c>
      <x:c r="B72" s="3" t="s">
        <x:v>17</x:v>
      </x:c>
      <x:c r="C72" s="5">
        <x:v>3240</x:v>
      </x:c>
      <x:c r="D72" s="16" t="s">
        <x:v>138</x:v>
      </x:c>
      <x:c r="E72" s="3" t="s">
        <x:v>19</x:v>
      </x:c>
      <x:c r="F72" s="3" t="s">
        <x:v>139</x:v>
      </x:c>
      <x:c r="G72" s="4">
        <x:v>46286</x:v>
      </x:c>
      <x:c r="H72" s="3"/>
      <x:c r="I72" s="6" t="n">
        <x:f>IF($D72="","",SUMIFS('5 Žaliavų perdavimai'!$E$4:$E$203,'5 Žaliavų perdavimai'!$D$4:$D$203,$D72))</x:f>
        <x:v>0</x:v>
      </x:c>
      <x:c r="J72" s="39" t="n">
        <x:v>3240</x:v>
      </x:c>
    </x:row>
    <x:row r="73">
      <x:c r="A73" s="4">
        <x:v>46267</x:v>
      </x:c>
      <x:c r="B73" s="3" t="s">
        <x:v>15</x:v>
      </x:c>
      <x:c r="C73" s="5">
        <x:v>250</x:v>
      </x:c>
      <x:c r="D73" s="16" t="s">
        <x:v>140</x:v>
      </x:c>
      <x:c r="E73" s="3" t="s">
        <x:v>14</x:v>
      </x:c>
      <x:c r="F73" s="3" t="s">
        <x:v>141</x:v>
      </x:c>
      <x:c r="G73" s="4">
        <x:v>46273</x:v>
      </x:c>
      <x:c r="H73" s="3"/>
      <x:c r="I73" s="6" t="n">
        <x:f>IF($D73="","",SUMIFS('5 Žaliavų perdavimai'!$E$4:$E$203,'5 Žaliavų perdavimai'!$D$4:$D$203,$D73))</x:f>
        <x:v>0</x:v>
      </x:c>
      <x:c r="J73" s="39" t="n">
        <x:v>250</x:v>
      </x:c>
    </x:row>
    <x:row r="74">
      <x:c r="A74" s="4">
        <x:v>46267</x:v>
      </x:c>
      <x:c r="B74" s="3" t="s">
        <x:v>23</x:v>
      </x:c>
      <x:c r="C74" s="5">
        <x:v>800</x:v>
      </x:c>
      <x:c r="D74" s="16" t="s">
        <x:v>142</x:v>
      </x:c>
      <x:c r="E74" s="3" t="s">
        <x:v>14</x:v>
      </x:c>
      <x:c r="F74" s="3" t="s">
        <x:v>141</x:v>
      </x:c>
      <x:c r="G74" s="4">
        <x:v>46388</x:v>
      </x:c>
      <x:c r="H74" s="3"/>
      <x:c r="I74" s="6" t="n">
        <x:f>IF($D74="","",SUMIFS('5 Žaliavų perdavimai'!$E$4:$E$203,'5 Žaliavų perdavimai'!$D$4:$D$203,$D74))</x:f>
        <x:v>0</x:v>
      </x:c>
      <x:c r="J74" s="39" t="n">
        <x:v>800</x:v>
      </x:c>
    </x:row>
    <x:row r="75">
      <x:c r="A75" s="4">
        <x:v>46267</x:v>
      </x:c>
      <x:c r="B75" s="3" t="s">
        <x:v>12</x:v>
      </x:c>
      <x:c r="C75" s="5">
        <x:v>800</x:v>
      </x:c>
      <x:c r="D75" s="16" t="s">
        <x:v>143</x:v>
      </x:c>
      <x:c r="E75" s="3" t="s">
        <x:v>14</x:v>
      </x:c>
      <x:c r="F75" s="3" t="s">
        <x:v>141</x:v>
      </x:c>
      <x:c r="G75" s="4">
        <x:v>46605</x:v>
      </x:c>
      <x:c r="H75" s="3"/>
      <x:c r="I75" s="6" t="n">
        <x:f>IF($D75="","",SUMIFS('5 Žaliavų perdavimai'!$E$4:$E$203,'5 Žaliavų perdavimai'!$D$4:$D$203,$D75))</x:f>
        <x:v>0</x:v>
      </x:c>
      <x:c r="J75" s="39" t="n">
        <x:v>800</x:v>
      </x:c>
    </x:row>
    <x:row r="76">
      <x:c r="A76" s="4">
        <x:v>46267</x:v>
      </x:c>
      <x:c r="B76" s="3" t="s">
        <x:v>20</x:v>
      </x:c>
      <x:c r="C76" s="5">
        <x:v>200</x:v>
      </x:c>
      <x:c r="D76" s="16" t="s">
        <x:v>144</x:v>
      </x:c>
      <x:c r="E76" s="3" t="s">
        <x:v>22</x:v>
      </x:c>
      <x:c r="F76" s="3" t="s">
        <x:v>145</x:v>
      </x:c>
      <x:c r="G76" s="4">
        <x:v>46276</x:v>
      </x:c>
      <x:c r="H76" s="3"/>
      <x:c r="I76" s="6" t="n">
        <x:f>IF($D76="","",SUMIFS('5 Žaliavų perdavimai'!$E$4:$E$203,'5 Žaliavų perdavimai'!$D$4:$D$203,$D76))</x:f>
        <x:v>0</x:v>
      </x:c>
      <x:c r="J76" s="39" t="n">
        <x:v>200</x:v>
      </x:c>
    </x:row>
    <x:row r="77">
      <x:c r="A77" s="4">
        <x:v>46268</x:v>
      </x:c>
      <x:c r="B77" s="3" t="s">
        <x:v>31</x:v>
      </x:c>
      <x:c r="C77" s="5">
        <x:v>900</x:v>
      </x:c>
      <x:c r="D77" s="16" t="s">
        <x:v>146</x:v>
      </x:c>
      <x:c r="E77" s="3" t="s">
        <x:v>33</x:v>
      </x:c>
      <x:c r="F77" s="3">
        <x:v>175078074</x:v>
      </x:c>
      <x:c r="G77" s="4">
        <x:v>46436</x:v>
      </x:c>
      <x:c r="H77" s="3"/>
      <x:c r="I77" s="6" t="n">
        <x:f>IF($D77="","",SUMIFS('5 Žaliavų perdavimai'!$E$4:$E$203,'5 Žaliavų perdavimai'!$D$4:$D$203,$D77))</x:f>
        <x:v>0</x:v>
      </x:c>
      <x:c r="J77" s="39" t="n">
        <x:v>900</x:v>
      </x:c>
    </x:row>
    <x:row r="78">
      <x:c r="A78" s="4">
        <x:v>46268</x:v>
      </x:c>
      <x:c r="B78" s="3" t="s">
        <x:v>23</x:v>
      </x:c>
      <x:c r="C78" s="5">
        <x:v>800</x:v>
      </x:c>
      <x:c r="D78" s="16" t="s">
        <x:v>147</x:v>
      </x:c>
      <x:c r="E78" s="3" t="s">
        <x:v>33</x:v>
      </x:c>
      <x:c r="F78" s="3">
        <x:v>175078074</x:v>
      </x:c>
      <x:c r="G78" s="4">
        <x:v>46753</x:v>
      </x:c>
      <x:c r="H78" s="3"/>
      <x:c r="I78" s="6" t="n">
        <x:f>IF($D78="","",SUMIFS('5 Žaliavų perdavimai'!$E$4:$E$203,'5 Žaliavų perdavimai'!$D$4:$D$203,$D78))</x:f>
        <x:v>0</x:v>
      </x:c>
      <x:c r="J78" s="39" t="n">
        <x:v>800</x:v>
      </x:c>
    </x:row>
    <x:row r="79">
      <x:c r="A79" s="4">
        <x:v>46269</x:v>
      </x:c>
      <x:c r="B79" s="3" t="s">
        <x:v>20</x:v>
      </x:c>
      <x:c r="C79" s="5">
        <x:v>200</x:v>
      </x:c>
      <x:c r="D79" s="16" t="s">
        <x:v>148</x:v>
      </x:c>
      <x:c r="E79" s="3" t="s">
        <x:v>22</x:v>
      </x:c>
      <x:c r="F79" s="3" t="s">
        <x:v>149</x:v>
      </x:c>
      <x:c r="G79" s="4">
        <x:v>46279</x:v>
      </x:c>
      <x:c r="H79" s="3"/>
      <x:c r="I79" s="6" t="n">
        <x:f>IF($D79="","",SUMIFS('5 Žaliavų perdavimai'!$E$4:$E$203,'5 Žaliavų perdavimai'!$D$4:$D$203,$D79))</x:f>
        <x:v>0</x:v>
      </x:c>
      <x:c r="J79" s="39" t="n">
        <x:v>200</x:v>
      </x:c>
    </x:row>
    <x:row r="80">
      <x:c r="A80" s="4">
        <x:v>46272</x:v>
      </x:c>
      <x:c r="B80" s="3" t="s">
        <x:v>15</x:v>
      </x:c>
      <x:c r="C80" s="5">
        <x:v>297</x:v>
      </x:c>
      <x:c r="D80" s="16" t="s">
        <x:v>150</x:v>
      </x:c>
      <x:c r="E80" s="3" t="s">
        <x:v>14</x:v>
      </x:c>
      <x:c r="F80" s="3" t="s">
        <x:v>151</x:v>
      </x:c>
      <x:c r="G80" s="4">
        <x:v>46276</x:v>
      </x:c>
      <x:c r="H80" s="3"/>
      <x:c r="I80" s="6" t="n">
        <x:f>IF($D80="","",SUMIFS('5 Žaliavų perdavimai'!$E$4:$E$203,'5 Žaliavų perdavimai'!$D$4:$D$203,$D80))</x:f>
        <x:v>0</x:v>
      </x:c>
      <x:c r="J80" s="39" t="n">
        <x:v>297</x:v>
      </x:c>
    </x:row>
    <x:row r="81">
      <x:c r="A81" s="4">
        <x:v>46272</x:v>
      </x:c>
      <x:c r="B81" s="3" t="s">
        <x:v>12</x:v>
      </x:c>
      <x:c r="C81" s="5">
        <x:v>800</x:v>
      </x:c>
      <x:c r="D81" s="16" t="s">
        <x:v>152</x:v>
      </x:c>
      <x:c r="E81" s="3" t="s">
        <x:v>14</x:v>
      </x:c>
      <x:c r="F81" s="3" t="s">
        <x:v>151</x:v>
      </x:c>
      <x:c r="G81" s="4">
        <x:v>46578</x:v>
      </x:c>
      <x:c r="H81" s="3"/>
      <x:c r="I81" s="6" t="n">
        <x:f>IF($D81="","",SUMIFS('5 Žaliavų perdavimai'!$E$4:$E$203,'5 Žaliavų perdavimai'!$D$4:$D$203,$D81))</x:f>
        <x:v>0</x:v>
      </x:c>
      <x:c r="J81" s="39" t="n">
        <x:v>800</x:v>
      </x:c>
    </x:row>
    <x:row r="82">
      <x:c r="A82" s="4">
        <x:v>46272</x:v>
      </x:c>
      <x:c r="B82" s="3" t="s">
        <x:v>20</x:v>
      </x:c>
      <x:c r="C82" s="5">
        <x:v>150</x:v>
      </x:c>
      <x:c r="D82" s="16" t="s">
        <x:v>153</x:v>
      </x:c>
      <x:c r="E82" s="3" t="s">
        <x:v>22</x:v>
      </x:c>
      <x:c r="F82" s="3" t="s">
        <x:v>154</x:v>
      </x:c>
      <x:c r="G82" s="4">
        <x:v>46279</x:v>
      </x:c>
      <x:c r="H82" s="3"/>
      <x:c r="I82" s="6" t="n">
        <x:f>IF($D82="","",SUMIFS('5 Žaliavų perdavimai'!$E$4:$E$203,'5 Žaliavų perdavimai'!$D$4:$D$203,$D82))</x:f>
        <x:v>0</x:v>
      </x:c>
      <x:c r="J82" s="39" t="n">
        <x:v>150</x:v>
      </x:c>
    </x:row>
    <x:row r="83">
      <x:c r="A83" s="4">
        <x:v>46272</x:v>
      </x:c>
      <x:c r="B83" s="3" t="s">
        <x:v>34</x:v>
      </x:c>
      <x:c r="C83" s="5">
        <x:v>20</x:v>
      </x:c>
      <x:c r="D83" s="16" t="s">
        <x:v>155</x:v>
      </x:c>
      <x:c r="E83" s="3" t="s">
        <x:v>36</x:v>
      </x:c>
      <x:c r="F83" s="3" t="s">
        <x:v>156</x:v>
      </x:c>
      <x:c r="G83" s="4">
        <x:v>47077</x:v>
      </x:c>
      <x:c r="H83" s="3"/>
      <x:c r="I83" s="6" t="n">
        <x:f>IF($D83="","",SUMIFS('5 Žaliavų perdavimai'!$E$4:$E$203,'5 Žaliavų perdavimai'!$D$4:$D$203,$D83))</x:f>
        <x:v>0</x:v>
      </x:c>
      <x:c r="J83" s="39" t="n">
        <x:v>20</x:v>
      </x:c>
    </x:row>
    <x:row r="84">
      <x:c r="A84" s="4">
        <x:v>46274</x:v>
      </x:c>
      <x:c r="B84" s="3" t="s">
        <x:v>15</x:v>
      </x:c>
      <x:c r="C84" s="5">
        <x:v>300</x:v>
      </x:c>
      <x:c r="D84" s="16" t="s">
        <x:v>157</x:v>
      </x:c>
      <x:c r="E84" s="3" t="s">
        <x:v>14</x:v>
      </x:c>
      <x:c r="F84" s="3" t="s">
        <x:v>158</x:v>
      </x:c>
      <x:c r="G84" s="4">
        <x:v>46280</x:v>
      </x:c>
      <x:c r="H84" s="3"/>
      <x:c r="I84" s="6"/>
      <x:c r="J84" s="39" t="n">
        <x:v>300</x:v>
      </x:c>
    </x:row>
    <x:row r="85">
      <x:c r="A85" s="4">
        <x:v>46274</x:v>
      </x:c>
      <x:c r="B85" s="3" t="s">
        <x:v>23</x:v>
      </x:c>
      <x:c r="C85" s="5">
        <x:v>800</x:v>
      </x:c>
      <x:c r="D85" s="16" t="s">
        <x:v>159</x:v>
      </x:c>
      <x:c r="E85" s="3" t="s">
        <x:v>14</x:v>
      </x:c>
      <x:c r="F85" s="3" t="s">
        <x:v>158</x:v>
      </x:c>
      <x:c r="G85" s="4">
        <x:v>46388</x:v>
      </x:c>
      <x:c r="H85" s="3"/>
      <x:c r="I85" s="6"/>
      <x:c r="J85" s="39" t="n">
        <x:v>800</x:v>
      </x:c>
    </x:row>
    <x:row r="86">
      <x:c r="A86" s="4">
        <x:v>46274</x:v>
      </x:c>
      <x:c r="B86" s="3" t="s">
        <x:v>12</x:v>
      </x:c>
      <x:c r="C86" s="5">
        <x:v>800</x:v>
      </x:c>
      <x:c r="D86" s="16" t="s">
        <x:v>160</x:v>
      </x:c>
      <x:c r="E86" s="3" t="s">
        <x:v>14</x:v>
      </x:c>
      <x:c r="F86" s="3" t="s">
        <x:v>158</x:v>
      </x:c>
      <x:c r="G86" s="4">
        <x:v>42960</x:v>
      </x:c>
      <x:c r="H86" s="3"/>
      <x:c r="I86" s="6"/>
      <x:c r="J86" s="39" t="n">
        <x:v>800</x:v>
      </x:c>
    </x:row>
    <x:row r="87">
      <x:c r="A87" s="4">
        <x:v>46274</x:v>
      </x:c>
      <x:c r="B87" s="3" t="s">
        <x:v>20</x:v>
      </x:c>
      <x:c r="C87" s="5">
        <x:v>150</x:v>
      </x:c>
      <x:c r="D87" s="16" t="s">
        <x:v>161</x:v>
      </x:c>
      <x:c r="E87" s="3" t="s">
        <x:v>22</x:v>
      </x:c>
      <x:c r="F87" s="3" t="s">
        <x:v>162</x:v>
      </x:c>
      <x:c r="G87" s="4">
        <x:v>46283</x:v>
      </x:c>
      <x:c r="H87" s="3"/>
      <x:c r="I87" s="6" t="n">
        <x:f>IF($D87="","",SUMIFS('5 Žaliavų perdavimai'!$E$4:$E$203,'5 Žaliavų perdavimai'!$D$4:$D$203,$D87))</x:f>
        <x:v>0</x:v>
      </x:c>
      <x:c r="J87" s="39" t="n">
        <x:v>150</x:v>
      </x:c>
    </x:row>
    <x:row r="88">
      <x:c r="A88" s="4">
        <x:v>46275</x:v>
      </x:c>
      <x:c r="B88" s="3" t="s">
        <x:v>31</x:v>
      </x:c>
      <x:c r="C88" s="5">
        <x:v>900</x:v>
      </x:c>
      <x:c r="D88" s="16" t="s">
        <x:v>163</x:v>
      </x:c>
      <x:c r="E88" s="3" t="s">
        <x:v>33</x:v>
      </x:c>
      <x:c r="F88" s="3">
        <x:v>175078382</x:v>
      </x:c>
      <x:c r="G88" s="4">
        <x:v>46436</x:v>
      </x:c>
      <x:c r="H88" s="3"/>
      <x:c r="I88" s="6" t="n">
        <x:f>IF($D88="","",SUMIFS('5 Žaliavų perdavimai'!$E$4:$E$203,'5 Žaliavų perdavimai'!$D$4:$D$203,$D88))</x:f>
        <x:v>0</x:v>
      </x:c>
      <x:c r="J88" s="39" t="n">
        <x:v>900</x:v>
      </x:c>
    </x:row>
    <x:row r="89">
      <x:c r="A89" s="4">
        <x:v>46276</x:v>
      </x:c>
      <x:c r="B89" s="3" t="s">
        <x:v>20</x:v>
      </x:c>
      <x:c r="C89" s="5">
        <x:v>200</x:v>
      </x:c>
      <x:c r="D89" s="16" t="s">
        <x:v>164</x:v>
      </x:c>
      <x:c r="E89" s="3" t="s">
        <x:v>22</x:v>
      </x:c>
      <x:c r="F89" s="3" t="s">
        <x:v>165</x:v>
      </x:c>
      <x:c r="G89" s="4">
        <x:v>46285</x:v>
      </x:c>
      <x:c r="H89" s="3"/>
      <x:c r="I89" s="6" t="n">
        <x:f>IF($D89="","",SUMIFS('5 Žaliavų perdavimai'!$E$4:$E$203,'5 Žaliavų perdavimai'!$D$4:$D$203,$D89))</x:f>
        <x:v>0</x:v>
      </x:c>
      <x:c r="J89" s="39" t="n">
        <x:v>200</x:v>
      </x:c>
    </x:row>
    <x:row r="90">
      <x:c r="A90" s="4">
        <x:v>46279</x:v>
      </x:c>
      <x:c r="B90" s="3" t="s">
        <x:v>20</x:v>
      </x:c>
      <x:c r="C90" s="5">
        <x:v>200</x:v>
      </x:c>
      <x:c r="D90" s="16" t="s">
        <x:v>166</x:v>
      </x:c>
      <x:c r="E90" s="3" t="s">
        <x:v>22</x:v>
      </x:c>
      <x:c r="F90" s="3" t="s">
        <x:v>167</x:v>
      </x:c>
      <x:c r="G90" s="4">
        <x:v>46286</x:v>
      </x:c>
      <x:c r="H90" s="3"/>
      <x:c r="I90" s="6" t="n">
        <x:f>IF($D90="","",SUMIFS('5 Žaliavų perdavimai'!$E$4:$E$203,'5 Žaliavų perdavimai'!$D$4:$D$203,$D90))</x:f>
        <x:v>0</x:v>
      </x:c>
      <x:c r="J90" s="39" t="n">
        <x:v>200</x:v>
      </x:c>
    </x:row>
    <x:row r="91">
      <x:c r="A91" s="4">
        <x:v>46279</x:v>
      </x:c>
      <x:c r="B91" s="3" t="s">
        <x:v>17</x:v>
      </x:c>
      <x:c r="C91" s="5">
        <x:v>4536</x:v>
      </x:c>
      <x:c r="D91" s="16" t="s">
        <x:v>168</x:v>
      </x:c>
      <x:c r="E91" s="3" t="s">
        <x:v>19</x:v>
      </x:c>
      <x:c r="F91" s="3" t="s">
        <x:v>169</x:v>
      </x:c>
      <x:c r="G91" s="4">
        <x:v>46300</x:v>
      </x:c>
      <x:c r="H91" s="3"/>
      <x:c r="I91" s="6" t="n">
        <x:f>IF($D91="","",SUMIFS('5 Žaliavų perdavimai'!$E$4:$E$203,'5 Žaliavų perdavimai'!$D$4:$D$203,$D91))</x:f>
        <x:v>0</x:v>
      </x:c>
      <x:c r="J91" s="39" t="n">
        <x:v>4536</x:v>
      </x:c>
    </x:row>
    <x:row r="92">
      <x:c r="A92" s="4">
        <x:v>46279</x:v>
      </x:c>
      <x:c r="B92" s="3" t="s">
        <x:v>15</x:v>
      </x:c>
      <x:c r="C92" s="5">
        <x:v>150</x:v>
      </x:c>
      <x:c r="D92" s="16" t="s">
        <x:v>170</x:v>
      </x:c>
      <x:c r="E92" s="3" t="s">
        <x:v>14</x:v>
      </x:c>
      <x:c r="F92" s="3" t="s">
        <x:v>171</x:v>
      </x:c>
      <x:c r="G92" s="4">
        <x:v>46283</x:v>
      </x:c>
      <x:c r="H92" s="3"/>
      <x:c r="I92" s="6" t="n">
        <x:f>IF($D92="","",SUMIFS('5 Žaliavų perdavimai'!$E$4:$E$203,'5 Žaliavų perdavimai'!$D$4:$D$203,$D92))</x:f>
        <x:v>0</x:v>
      </x:c>
      <x:c r="J92" s="39" t="n">
        <x:v>150</x:v>
      </x:c>
    </x:row>
    <x:row r="93">
      <x:c r="A93" s="4">
        <x:v>46279</x:v>
      </x:c>
      <x:c r="B93" s="3" t="s">
        <x:v>12</x:v>
      </x:c>
      <x:c r="C93" s="5">
        <x:v>800</x:v>
      </x:c>
      <x:c r="D93" s="16" t="s">
        <x:v>172</x:v>
      </x:c>
      <x:c r="E93" s="3" t="s">
        <x:v>14</x:v>
      </x:c>
      <x:c r="F93" s="3" t="s">
        <x:v>171</x:v>
      </x:c>
      <x:c r="G93" s="4">
        <x:v>46630</x:v>
      </x:c>
      <x:c r="H93" s="3"/>
      <x:c r="I93" s="6" t="n">
        <x:f>IF($D93="","",SUMIFS('5 Žaliavų perdavimai'!$E$4:$E$203,'5 Žaliavų perdavimai'!$D$4:$D$203,$D93))</x:f>
        <x:v>0</x:v>
      </x:c>
      <x:c r="J93" s="39" t="n">
        <x:v>800</x:v>
      </x:c>
    </x:row>
    <x:row r="94">
      <x:c r="A94" s="4">
        <x:v>46279</x:v>
      </x:c>
      <x:c r="B94" s="3" t="s">
        <x:v>23</x:v>
      </x:c>
      <x:c r="C94" s="5">
        <x:v>800</x:v>
      </x:c>
      <x:c r="D94" s="16" t="s">
        <x:v>173</x:v>
      </x:c>
      <x:c r="E94" s="3" t="s">
        <x:v>14</x:v>
      </x:c>
      <x:c r="F94" s="3" t="s">
        <x:v>171</x:v>
      </x:c>
      <x:c r="G94" s="4">
        <x:v>46388</x:v>
      </x:c>
      <x:c r="H94" s="3"/>
      <x:c r="I94" s="6" t="n">
        <x:f>IF($D94="","",SUMIFS('5 Žaliavų perdavimai'!$E$4:$E$203,'5 Žaliavų perdavimai'!$D$4:$D$203,$D94))</x:f>
        <x:v>0</x:v>
      </x:c>
      <x:c r="J94" s="39" t="n">
        <x:v>800</x:v>
      </x:c>
    </x:row>
    <x:row r="95">
      <x:c r="A95" s="4">
        <x:v>46281</x:v>
      </x:c>
      <x:c r="B95" s="3" t="s">
        <x:v>20</x:v>
      </x:c>
      <x:c r="C95" s="5">
        <x:v>200</x:v>
      </x:c>
      <x:c r="D95" s="16" t="s">
        <x:v>174</x:v>
      </x:c>
      <x:c r="E95" s="3" t="s">
        <x:v>22</x:v>
      </x:c>
      <x:c r="F95" s="3" t="s">
        <x:v>175</x:v>
      </x:c>
      <x:c r="G95" s="4">
        <x:v>46290</x:v>
      </x:c>
      <x:c r="H95" s="3"/>
      <x:c r="I95" s="6" t="n">
        <x:f>IF($D95="","",SUMIFS('5 Žaliavų perdavimai'!$E$4:$E$203,'5 Žaliavų perdavimai'!$D$4:$D$203,$D95))</x:f>
        <x:v>0</x:v>
      </x:c>
      <x:c r="J95" s="39" t="n">
        <x:v>200</x:v>
      </x:c>
    </x:row>
    <x:row r="96">
      <x:c r="A96" s="4">
        <x:v>46281</x:v>
      </x:c>
      <x:c r="B96" s="3" t="s">
        <x:v>15</x:v>
      </x:c>
      <x:c r="C96" s="5">
        <x:v>52</x:v>
      </x:c>
      <x:c r="D96" s="16" t="s">
        <x:v>176</x:v>
      </x:c>
      <x:c r="E96" s="3" t="s">
        <x:v>14</x:v>
      </x:c>
      <x:c r="F96" s="3" t="s">
        <x:v>177</x:v>
      </x:c>
      <x:c r="G96" s="4">
        <x:v>46287</x:v>
      </x:c>
      <x:c r="H96" s="3"/>
      <x:c r="I96" s="6" t="n">
        <x:f>IF($D96="","",SUMIFS('5 Žaliavų perdavimai'!$E$4:$E$203,'5 Žaliavų perdavimai'!$D$4:$D$203,$D96))</x:f>
        <x:v>0</x:v>
      </x:c>
      <x:c r="J96" s="39" t="n">
        <x:v>52</x:v>
      </x:c>
    </x:row>
    <x:row r="97">
      <x:c r="A97" s="4">
        <x:v>46281</x:v>
      </x:c>
      <x:c r="B97" s="3" t="s">
        <x:v>12</x:v>
      </x:c>
      <x:c r="C97" s="5">
        <x:v>800</x:v>
      </x:c>
      <x:c r="D97" s="16" t="s">
        <x:v>178</x:v>
      </x:c>
      <x:c r="E97" s="3" t="s">
        <x:v>14</x:v>
      </x:c>
      <x:c r="F97" s="3" t="s">
        <x:v>177</x:v>
      </x:c>
      <x:c r="G97" s="4">
        <x:v>46630</x:v>
      </x:c>
      <x:c r="H97" s="3"/>
      <x:c r="I97" s="6" t="n">
        <x:f>IF($D97="","",SUMIFS('5 Žaliavų perdavimai'!$E$4:$E$203,'5 Žaliavų perdavimai'!$D$4:$D$203,$D97))</x:f>
        <x:v>0</x:v>
      </x:c>
      <x:c r="J97" s="39" t="n">
        <x:v>800</x:v>
      </x:c>
    </x:row>
    <x:row r="98">
      <x:c r="A98" s="4">
        <x:v>46281</x:v>
      </x:c>
      <x:c r="B98" s="3" t="s">
        <x:v>23</x:v>
      </x:c>
      <x:c r="C98" s="5">
        <x:v>800</x:v>
      </x:c>
      <x:c r="D98" s="16" t="s">
        <x:v>179</x:v>
      </x:c>
      <x:c r="E98" s="3" t="s">
        <x:v>14</x:v>
      </x:c>
      <x:c r="F98" s="3" t="s">
        <x:v>177</x:v>
      </x:c>
      <x:c r="G98" s="4">
        <x:v>46388</x:v>
      </x:c>
      <x:c r="H98" s="3"/>
      <x:c r="I98" s="6" t="n">
        <x:f>IF($D98="","",SUMIFS('5 Žaliavų perdavimai'!$E$4:$E$203,'5 Žaliavų perdavimai'!$D$4:$D$203,$D98))</x:f>
        <x:v>0</x:v>
      </x:c>
      <x:c r="J98" s="39" t="n">
        <x:v>800</x:v>
      </x:c>
    </x:row>
    <x:row r="99">
      <x:c r="A99" s="4">
        <x:v>46281</x:v>
      </x:c>
      <x:c r="B99" s="3" t="s">
        <x:v>28</x:v>
      </x:c>
      <x:c r="C99" s="5">
        <x:v>1440</x:v>
      </x:c>
      <x:c r="D99" s="16" t="s">
        <x:v>180</x:v>
      </x:c>
      <x:c r="E99" s="3" t="s">
        <x:v>30</x:v>
      </x:c>
      <x:c r="F99" s="3" t="s">
        <x:v>181</x:v>
      </x:c>
      <x:c r="G99" s="4">
        <x:v>46322</x:v>
      </x:c>
      <x:c r="H99" s="3"/>
      <x:c r="I99" s="6" t="n">
        <x:f>IF($D99="","",SUMIFS('5 Žaliavų perdavimai'!$E$4:$E$203,'5 Žaliavų perdavimai'!$D$4:$D$203,$D99))</x:f>
        <x:v>0</x:v>
      </x:c>
      <x:c r="J99" s="39" t="n">
        <x:v>1440</x:v>
      </x:c>
    </x:row>
    <x:row r="100">
      <x:c r="A100" s="4">
        <x:v>46282</x:v>
      </x:c>
      <x:c r="B100" s="3" t="s">
        <x:v>15</x:v>
      </x:c>
      <x:c r="C100" s="5">
        <x:v>348</x:v>
      </x:c>
      <x:c r="D100" s="16" t="s">
        <x:v>182</x:v>
      </x:c>
      <x:c r="E100" s="3" t="s">
        <x:v>14</x:v>
      </x:c>
      <x:c r="F100" s="3" t="s">
        <x:v>183</x:v>
      </x:c>
      <x:c r="G100" s="4">
        <x:v>46287</x:v>
      </x:c>
      <x:c r="H100" s="3"/>
      <x:c r="I100" s="6" t="n">
        <x:f>IF($D100="","",SUMIFS('5 Žaliavų perdavimai'!$E$4:$E$203,'5 Žaliavų perdavimai'!$D$4:$D$203,$D100))</x:f>
        <x:v>0</x:v>
      </x:c>
      <x:c r="J100" s="39" t="n">
        <x:v>348</x:v>
      </x:c>
    </x:row>
    <x:row r="101">
      <x:c r="A101" s="4">
        <x:v>46282</x:v>
      </x:c>
      <x:c r="B101" s="3" t="s">
        <x:v>31</x:v>
      </x:c>
      <x:c r="C101" s="5">
        <x:v>900</x:v>
      </x:c>
      <x:c r="D101" s="16" t="s">
        <x:v>184</x:v>
      </x:c>
      <x:c r="E101" s="3" t="s">
        <x:v>33</x:v>
      </x:c>
      <x:c r="F101" s="3">
        <x:v>175078713</x:v>
      </x:c>
      <x:c r="G101" s="4">
        <x:v>46368</x:v>
      </x:c>
      <x:c r="H101" s="3"/>
      <x:c r="I101" s="6" t="n">
        <x:f>IF($D101="","",SUMIFS('5 Žaliavų perdavimai'!$E$4:$E$203,'5 Žaliavų perdavimai'!$D$4:$D$203,$D101))</x:f>
        <x:v>0</x:v>
      </x:c>
      <x:c r="J101" s="39" t="n">
        <x:v>900</x:v>
      </x:c>
    </x:row>
    <x:row r="102">
      <x:c r="A102" s="4">
        <x:v>46283</x:v>
      </x:c>
      <x:c r="B102" s="3" t="s">
        <x:v>20</x:v>
      </x:c>
      <x:c r="C102" s="5">
        <x:v>200</x:v>
      </x:c>
      <x:c r="D102" s="16" t="s">
        <x:v>185</x:v>
      </x:c>
      <x:c r="E102" s="3" t="s">
        <x:v>22</x:v>
      </x:c>
      <x:c r="F102" s="3" t="s">
        <x:v>186</x:v>
      </x:c>
      <x:c r="G102" s="4">
        <x:v>46291</x:v>
      </x:c>
      <x:c r="H102" s="3"/>
      <x:c r="I102" s="6" t="n">
        <x:f>IF($D102="","",SUMIFS('5 Žaliavų perdavimai'!$E$4:$E$203,'5 Žaliavų perdavimai'!$D$4:$D$203,$D102))</x:f>
        <x:v>0</x:v>
      </x:c>
      <x:c r="J102" s="39" t="n">
        <x:v>200</x:v>
      </x:c>
    </x:row>
    <x:row r="103">
      <x:c r="A103" s="4">
        <x:v>46286</x:v>
      </x:c>
      <x:c r="B103" s="3" t="s">
        <x:v>20</x:v>
      </x:c>
      <x:c r="C103" s="5">
        <x:v>100</x:v>
      </x:c>
      <x:c r="D103" s="16" t="s">
        <x:v>187</x:v>
      </x:c>
      <x:c r="E103" s="3" t="s">
        <x:v>22</x:v>
      </x:c>
      <x:c r="F103" s="3" t="s">
        <x:v>188</x:v>
      </x:c>
      <x:c r="G103" s="4">
        <x:v>46293</x:v>
      </x:c>
      <x:c r="H103" s="3"/>
      <x:c r="I103" s="6" t="n">
        <x:f>IF($D103="","",SUMIFS('5 Žaliavų perdavimai'!$E$4:$E$203,'5 Žaliavų perdavimai'!$D$4:$D$203,$D103))</x:f>
        <x:v>0</x:v>
      </x:c>
      <x:c r="J103" s="39" t="n">
        <x:v>100</x:v>
      </x:c>
    </x:row>
    <x:row r="104">
      <x:c r="A104" s="4">
        <x:v>46286</x:v>
      </x:c>
      <x:c r="B104" s="3" t="s">
        <x:v>15</x:v>
      </x:c>
      <x:c r="C104" s="5">
        <x:v>200</x:v>
      </x:c>
      <x:c r="D104" s="16" t="s">
        <x:v>189</x:v>
      </x:c>
      <x:c r="E104" s="3" t="s">
        <x:v>14</x:v>
      </x:c>
      <x:c r="F104" s="3" t="s">
        <x:v>190</x:v>
      </x:c>
      <x:c r="G104" s="4">
        <x:v>46290</x:v>
      </x:c>
      <x:c r="H104" s="3"/>
      <x:c r="I104" s="6" t="n">
        <x:f>IF($D104="","",SUMIFS('5 Žaliavų perdavimai'!$E$4:$E$203,'5 Žaliavų perdavimai'!$D$4:$D$203,$D104))</x:f>
        <x:v>0</x:v>
      </x:c>
      <x:c r="J104" s="39" t="n">
        <x:v>200</x:v>
      </x:c>
    </x:row>
    <x:row r="105">
      <x:c r="A105" s="4">
        <x:v>46286</x:v>
      </x:c>
      <x:c r="B105" s="3" t="s">
        <x:v>12</x:v>
      </x:c>
      <x:c r="C105" s="5">
        <x:v>2400</x:v>
      </x:c>
      <x:c r="D105" s="16" t="s">
        <x:v>191</x:v>
      </x:c>
      <x:c r="E105" s="3" t="s">
        <x:v>14</x:v>
      </x:c>
      <x:c r="F105" s="3" t="s">
        <x:v>190</x:v>
      </x:c>
      <x:c r="G105" s="4">
        <x:v>46627</x:v>
      </x:c>
      <x:c r="H105" s="3"/>
      <x:c r="I105" s="6" t="n">
        <x:f>IF($D105="","",SUMIFS('5 Žaliavų perdavimai'!$E$4:$E$203,'5 Žaliavų perdavimai'!$D$4:$D$203,$D105))</x:f>
        <x:v>0</x:v>
      </x:c>
      <x:c r="J105" s="39" t="n">
        <x:v>2400</x:v>
      </x:c>
    </x:row>
    <x:row r="106">
      <x:c r="A106" s="4">
        <x:v>46286</x:v>
      </x:c>
      <x:c r="B106" s="3" t="s">
        <x:v>23</x:v>
      </x:c>
      <x:c r="C106" s="5">
        <x:v>800</x:v>
      </x:c>
      <x:c r="D106" s="16" t="s">
        <x:v>192</x:v>
      </x:c>
      <x:c r="E106" s="3" t="s">
        <x:v>14</x:v>
      </x:c>
      <x:c r="F106" s="3" t="s">
        <x:v>190</x:v>
      </x:c>
      <x:c r="G106" s="4">
        <x:v>46388</x:v>
      </x:c>
      <x:c r="H106" s="3"/>
      <x:c r="I106" s="6" t="n">
        <x:f>IF($D106="","",SUMIFS('5 Žaliavų perdavimai'!$E$4:$E$203,'5 Žaliavų perdavimai'!$D$4:$D$203,$D106))</x:f>
        <x:v>0</x:v>
      </x:c>
      <x:c r="J106" s="39" t="n">
        <x:v>800</x:v>
      </x:c>
    </x:row>
    <x:row r="107">
      <x:c r="A107" s="4">
        <x:v>46287</x:v>
      </x:c>
      <x:c r="B107" s="3" t="s">
        <x:v>28</x:v>
      </x:c>
      <x:c r="C107" s="5">
        <x:v>2160</x:v>
      </x:c>
      <x:c r="D107" s="16" t="s">
        <x:v>193</x:v>
      </x:c>
      <x:c r="E107" s="3" t="s">
        <x:v>30</x:v>
      </x:c>
      <x:c r="F107" s="3" t="s">
        <x:v>194</x:v>
      </x:c>
      <x:c r="G107" s="4">
        <x:v>46322</x:v>
      </x:c>
      <x:c r="H107" s="3"/>
      <x:c r="I107" s="6" t="n">
        <x:f>IF($D107="","",SUMIFS('5 Žaliavų perdavimai'!$E$4:$E$203,'5 Žaliavų perdavimai'!$D$4:$D$203,$D107))</x:f>
        <x:v>0</x:v>
      </x:c>
      <x:c r="J107" s="39" t="n">
        <x:v>2160</x:v>
      </x:c>
    </x:row>
    <x:row r="108">
      <x:c r="A108" s="4">
        <x:v>46288</x:v>
      </x:c>
      <x:c r="B108" s="3" t="s">
        <x:v>20</x:v>
      </x:c>
      <x:c r="C108" s="5">
        <x:v>150</x:v>
      </x:c>
      <x:c r="D108" s="16" t="s">
        <x:v>195</x:v>
      </x:c>
      <x:c r="E108" s="3" t="s">
        <x:v>22</x:v>
      </x:c>
      <x:c r="F108" s="3" t="s">
        <x:v>196</x:v>
      </x:c>
      <x:c r="G108" s="4">
        <x:v>46296</x:v>
      </x:c>
      <x:c r="H108" s="3"/>
      <x:c r="I108" s="6" t="n">
        <x:f>IF($D108="","",SUMIFS('5 Žaliavų perdavimai'!$E$4:$E$203,'5 Žaliavų perdavimai'!$D$4:$D$203,$D108))</x:f>
        <x:v>0</x:v>
      </x:c>
      <x:c r="J108" s="39" t="n">
        <x:v>150</x:v>
      </x:c>
    </x:row>
    <x:row r="109">
      <x:c r="A109" s="4"/>
      <x:c r="B109" s="3"/>
      <x:c r="C109" s="5"/>
      <x:c r="D109" s="16"/>
      <x:c r="E109" s="3"/>
      <x:c r="F109" s="3"/>
      <x:c r="G109" s="4"/>
      <x:c r="H109" s="3"/>
      <x:c r="I109" s="6" t="str">
        <x:f>IF($D109="","",SUMIFS('5 Žaliavų perdavimai'!$E$4:$E$203,'5 Žaliavų perdavimai'!$D$4:$D$203,$D109))</x:f>
      </x:c>
      <x:c r="J109" s="6" t="str">
        <x:f>IF($D109="","",$C109-$I109-SUMIFS('3 Sunaudojimas'!$H$4:$H$163,'3 Sunaudojimas'!$F$4:$F$163,$D109)-SUMIFS('3 Sunaudojimas'!$K$4:$K$163,'3 Sunaudojimas'!$I$4:$I$163,$D109)-SUMIFS('3 Sunaudojimas'!$N$4:$N$163,'3 Sunaudojimas'!$L$4:$L$163,$D109))</x:f>
      </x:c>
    </x:row>
    <x:row r="110">
      <x:c r="A110" s="4"/>
      <x:c r="B110" s="3"/>
      <x:c r="C110" s="5"/>
      <x:c r="D110" s="16"/>
      <x:c r="E110" s="3"/>
      <x:c r="F110" s="3"/>
      <x:c r="G110" s="4"/>
      <x:c r="H110" s="3"/>
      <x:c r="I110" s="6" t="str">
        <x:f>IF($D110="","",SUMIFS('5 Žaliavų perdavimai'!$E$4:$E$203,'5 Žaliavų perdavimai'!$D$4:$D$203,$D110))</x:f>
      </x:c>
      <x:c r="J110" s="6" t="str">
        <x:f>IF($D110="","",$C110-$I110-SUMIFS('3 Sunaudojimas'!$H$4:$H$163,'3 Sunaudojimas'!$F$4:$F$163,$D110)-SUMIFS('3 Sunaudojimas'!$K$4:$K$163,'3 Sunaudojimas'!$I$4:$I$163,$D110)-SUMIFS('3 Sunaudojimas'!$N$4:$N$163,'3 Sunaudojimas'!$L$4:$L$163,$D110))</x:f>
      </x:c>
    </x:row>
    <x:row r="111">
      <x:c r="A111" s="4"/>
      <x:c r="B111" s="3"/>
      <x:c r="C111" s="5"/>
      <x:c r="D111" s="16"/>
      <x:c r="E111" s="3"/>
      <x:c r="F111" s="3"/>
      <x:c r="G111" s="4"/>
      <x:c r="H111" s="3"/>
      <x:c r="I111" s="6" t="str">
        <x:f>IF($D111="","",SUMIFS('5 Žaliavų perdavimai'!$E$4:$E$203,'5 Žaliavų perdavimai'!$D$4:$D$203,$D111))</x:f>
      </x:c>
      <x:c r="J111" s="6" t="str">
        <x:f>IF($D111="","",$C111-$I111-SUMIFS('3 Sunaudojimas'!$H$4:$H$163,'3 Sunaudojimas'!$F$4:$F$163,$D111)-SUMIFS('3 Sunaudojimas'!$K$4:$K$163,'3 Sunaudojimas'!$I$4:$I$163,$D111)-SUMIFS('3 Sunaudojimas'!$N$4:$N$163,'3 Sunaudojimas'!$L$4:$L$163,$D111))</x:f>
      </x:c>
    </x:row>
    <x:row r="112">
      <x:c r="A112" s="4"/>
      <x:c r="B112" s="3"/>
      <x:c r="C112" s="5"/>
      <x:c r="D112" s="16"/>
      <x:c r="E112" s="3"/>
      <x:c r="F112" s="3"/>
      <x:c r="G112" s="4"/>
      <x:c r="H112" s="3"/>
      <x:c r="I112" s="6" t="str">
        <x:f>IF($D112="","",SUMIFS('5 Žaliavų perdavimai'!$E$4:$E$203,'5 Žaliavų perdavimai'!$D$4:$D$203,$D112))</x:f>
      </x:c>
      <x:c r="J112" s="6" t="str">
        <x:f>IF($D112="","",$C112-$I112-SUMIFS('3 Sunaudojimas'!$H$4:$H$163,'3 Sunaudojimas'!$F$4:$F$163,$D112)-SUMIFS('3 Sunaudojimas'!$K$4:$K$163,'3 Sunaudojimas'!$I$4:$I$163,$D112)-SUMIFS('3 Sunaudojimas'!$N$4:$N$163,'3 Sunaudojimas'!$L$4:$L$163,$D112))</x:f>
      </x:c>
    </x:row>
    <x:row r="113">
      <x:c r="A113" s="4"/>
      <x:c r="B113" s="3"/>
      <x:c r="C113" s="5"/>
      <x:c r="D113" s="16"/>
      <x:c r="E113" s="3"/>
      <x:c r="F113" s="3"/>
      <x:c r="G113" s="4"/>
      <x:c r="H113" s="3"/>
      <x:c r="I113" s="6" t="str">
        <x:f>IF($D113="","",SUMIFS('5 Žaliavų perdavimai'!$E$4:$E$203,'5 Žaliavų perdavimai'!$D$4:$D$203,$D113))</x:f>
      </x:c>
      <x:c r="J113" s="6" t="str">
        <x:f>IF($D113="","",$C113-$I113-SUMIFS('3 Sunaudojimas'!$H$4:$H$163,'3 Sunaudojimas'!$F$4:$F$163,$D113)-SUMIFS('3 Sunaudojimas'!$K$4:$K$163,'3 Sunaudojimas'!$I$4:$I$163,$D113)-SUMIFS('3 Sunaudojimas'!$N$4:$N$163,'3 Sunaudojimas'!$L$4:$L$163,$D113))</x:f>
      </x:c>
    </x:row>
    <x:row r="114">
      <x:c r="A114" s="4"/>
      <x:c r="B114" s="3"/>
      <x:c r="C114" s="5"/>
      <x:c r="D114" s="16"/>
      <x:c r="E114" s="3"/>
      <x:c r="F114" s="3"/>
      <x:c r="G114" s="4"/>
      <x:c r="H114" s="3"/>
      <x:c r="I114" s="6" t="str">
        <x:f>IF($D114="","",SUMIFS('5 Žaliavų perdavimai'!$E$4:$E$203,'5 Žaliavų perdavimai'!$D$4:$D$203,$D114))</x:f>
      </x:c>
      <x:c r="J114" s="6" t="str">
        <x:f>IF($D114="","",$C114-$I114-SUMIFS('3 Sunaudojimas'!$H$4:$H$163,'3 Sunaudojimas'!$F$4:$F$163,$D114)-SUMIFS('3 Sunaudojimas'!$K$4:$K$163,'3 Sunaudojimas'!$I$4:$I$163,$D114)-SUMIFS('3 Sunaudojimas'!$N$4:$N$163,'3 Sunaudojimas'!$L$4:$L$163,$D114))</x:f>
      </x:c>
    </x:row>
    <x:row r="115">
      <x:c r="A115" s="4"/>
      <x:c r="B115" s="3"/>
      <x:c r="C115" s="5"/>
      <x:c r="D115" s="16"/>
      <x:c r="E115" s="3"/>
      <x:c r="F115" s="3"/>
      <x:c r="G115" s="4"/>
      <x:c r="H115" s="3"/>
      <x:c r="I115" s="6" t="str">
        <x:f>IF($D115="","",SUMIFS('5 Žaliavų perdavimai'!$E$4:$E$203,'5 Žaliavų perdavimai'!$D$4:$D$203,$D115))</x:f>
      </x:c>
      <x:c r="J115" s="6" t="str">
        <x:f>IF($D115="","",$C115-$I115-SUMIFS('3 Sunaudojimas'!$H$4:$H$163,'3 Sunaudojimas'!$F$4:$F$163,$D115)-SUMIFS('3 Sunaudojimas'!$K$4:$K$163,'3 Sunaudojimas'!$I$4:$I$163,$D115)-SUMIFS('3 Sunaudojimas'!$N$4:$N$163,'3 Sunaudojimas'!$L$4:$L$163,$D115))</x:f>
      </x:c>
    </x:row>
    <x:row r="116">
      <x:c r="A116" s="4"/>
      <x:c r="B116" s="3"/>
      <x:c r="C116" s="5"/>
      <x:c r="D116" s="16"/>
      <x:c r="E116" s="3"/>
      <x:c r="F116" s="3"/>
      <x:c r="G116" s="4"/>
      <x:c r="H116" s="3"/>
      <x:c r="I116" s="6" t="str">
        <x:f>IF($D116="","",SUMIFS('5 Žaliavų perdavimai'!$E$4:$E$203,'5 Žaliavų perdavimai'!$D$4:$D$203,$D116))</x:f>
      </x:c>
      <x:c r="J116" s="6" t="str">
        <x:f>IF($D116="","",$C116-$I116-SUMIFS('3 Sunaudojimas'!$H$4:$H$163,'3 Sunaudojimas'!$F$4:$F$163,$D116)-SUMIFS('3 Sunaudojimas'!$K$4:$K$163,'3 Sunaudojimas'!$I$4:$I$163,$D116)-SUMIFS('3 Sunaudojimas'!$N$4:$N$163,'3 Sunaudojimas'!$L$4:$L$163,$D116))</x:f>
      </x:c>
    </x:row>
    <x:row r="117">
      <x:c r="A117" s="4"/>
      <x:c r="B117" s="3"/>
      <x:c r="C117" s="5"/>
      <x:c r="D117" s="16"/>
      <x:c r="E117" s="3"/>
      <x:c r="F117" s="3"/>
      <x:c r="G117" s="4"/>
      <x:c r="H117" s="3"/>
      <x:c r="I117" s="6" t="str">
        <x:f>IF($D117="","",SUMIFS('5 Žaliavų perdavimai'!$E$4:$E$203,'5 Žaliavų perdavimai'!$D$4:$D$203,$D117))</x:f>
      </x:c>
      <x:c r="J117" s="6" t="str">
        <x:f>IF($D117="","",$C117-$I117-SUMIFS('3 Sunaudojimas'!$H$4:$H$163,'3 Sunaudojimas'!$F$4:$F$163,$D117)-SUMIFS('3 Sunaudojimas'!$K$4:$K$163,'3 Sunaudojimas'!$I$4:$I$163,$D117)-SUMIFS('3 Sunaudojimas'!$N$4:$N$163,'3 Sunaudojimas'!$L$4:$L$163,$D117))</x:f>
      </x:c>
    </x:row>
    <x:row r="118">
      <x:c r="A118" s="4"/>
      <x:c r="B118" s="3"/>
      <x:c r="C118" s="5"/>
      <x:c r="D118" s="16"/>
      <x:c r="E118" s="3"/>
      <x:c r="F118" s="3"/>
      <x:c r="G118" s="4"/>
      <x:c r="H118" s="3"/>
      <x:c r="I118" s="6" t="str">
        <x:f>IF($D118="","",SUMIFS('5 Žaliavų perdavimai'!$E$4:$E$203,'5 Žaliavų perdavimai'!$D$4:$D$203,$D118))</x:f>
      </x:c>
      <x:c r="J118" s="6" t="str">
        <x:f>IF($D118="","",$C118-$I118-SUMIFS('3 Sunaudojimas'!$H$4:$H$163,'3 Sunaudojimas'!$F$4:$F$163,$D118)-SUMIFS('3 Sunaudojimas'!$K$4:$K$163,'3 Sunaudojimas'!$I$4:$I$163,$D118)-SUMIFS('3 Sunaudojimas'!$N$4:$N$163,'3 Sunaudojimas'!$L$4:$L$163,$D118))</x:f>
      </x:c>
    </x:row>
    <x:row r="119">
      <x:c r="A119" s="4"/>
      <x:c r="B119" s="3"/>
      <x:c r="C119" s="5"/>
      <x:c r="D119" s="16"/>
      <x:c r="E119" s="3"/>
      <x:c r="F119" s="3"/>
      <x:c r="G119" s="4"/>
      <x:c r="H119" s="3"/>
      <x:c r="I119" s="6" t="str">
        <x:f>IF($D119="","",SUMIFS('5 Žaliavų perdavimai'!$E$4:$E$203,'5 Žaliavų perdavimai'!$D$4:$D$203,$D119))</x:f>
      </x:c>
      <x:c r="J119" s="6" t="str">
        <x:f>IF($D119="","",$C119-$I119-SUMIFS('3 Sunaudojimas'!$H$4:$H$163,'3 Sunaudojimas'!$F$4:$F$163,$D119)-SUMIFS('3 Sunaudojimas'!$K$4:$K$163,'3 Sunaudojimas'!$I$4:$I$163,$D119)-SUMIFS('3 Sunaudojimas'!$N$4:$N$163,'3 Sunaudojimas'!$L$4:$L$163,$D119))</x:f>
      </x:c>
    </x:row>
    <x:row r="120">
      <x:c r="A120" s="4"/>
      <x:c r="B120" s="3"/>
      <x:c r="C120" s="5"/>
      <x:c r="D120" s="16"/>
      <x:c r="E120" s="3"/>
      <x:c r="F120" s="3"/>
      <x:c r="G120" s="4"/>
      <x:c r="H120" s="3"/>
      <x:c r="I120" s="6" t="str">
        <x:f>IF($D120="","",SUMIFS('5 Žaliavų perdavimai'!$E$4:$E$203,'5 Žaliavų perdavimai'!$D$4:$D$203,$D120))</x:f>
      </x:c>
      <x:c r="J120" s="6" t="str">
        <x:f>IF($D120="","",$C120-$I120-SUMIFS('3 Sunaudojimas'!$H$4:$H$163,'3 Sunaudojimas'!$F$4:$F$163,$D120)-SUMIFS('3 Sunaudojimas'!$K$4:$K$163,'3 Sunaudojimas'!$I$4:$I$163,$D120)-SUMIFS('3 Sunaudojimas'!$N$4:$N$163,'3 Sunaudojimas'!$L$4:$L$163,$D120))</x:f>
      </x:c>
    </x:row>
    <x:row r="121">
      <x:c r="A121" s="4"/>
      <x:c r="B121" s="3"/>
      <x:c r="C121" s="5"/>
      <x:c r="D121" s="16"/>
      <x:c r="E121" s="3"/>
      <x:c r="F121" s="3"/>
      <x:c r="G121" s="4"/>
      <x:c r="H121" s="3"/>
      <x:c r="I121" s="6" t="str">
        <x:f>IF($D121="","",SUMIFS('5 Žaliavų perdavimai'!$E$4:$E$203,'5 Žaliavų perdavimai'!$D$4:$D$203,$D121))</x:f>
      </x:c>
      <x:c r="J121" s="6" t="str">
        <x:f>IF($D121="","",$C121-$I121-SUMIFS('3 Sunaudojimas'!$H$4:$H$163,'3 Sunaudojimas'!$F$4:$F$163,$D121)-SUMIFS('3 Sunaudojimas'!$K$4:$K$163,'3 Sunaudojimas'!$I$4:$I$163,$D121)-SUMIFS('3 Sunaudojimas'!$N$4:$N$163,'3 Sunaudojimas'!$L$4:$L$163,$D121))</x:f>
      </x:c>
    </x:row>
    <x:row r="122">
      <x:c r="A122" s="4"/>
      <x:c r="B122" s="3"/>
      <x:c r="C122" s="5"/>
      <x:c r="D122" s="16"/>
      <x:c r="E122" s="3"/>
      <x:c r="F122" s="3"/>
      <x:c r="G122" s="4"/>
      <x:c r="H122" s="3"/>
      <x:c r="I122" s="6" t="str">
        <x:f>IF($D122="","",SUMIFS('5 Žaliavų perdavimai'!$E$4:$E$203,'5 Žaliavų perdavimai'!$D$4:$D$203,$D122))</x:f>
      </x:c>
      <x:c r="J122" s="6" t="str">
        <x:f>IF($D122="","",$C122-$I122-SUMIFS('3 Sunaudojimas'!$H$4:$H$163,'3 Sunaudojimas'!$F$4:$F$163,$D122)-SUMIFS('3 Sunaudojimas'!$K$4:$K$163,'3 Sunaudojimas'!$I$4:$I$163,$D122)-SUMIFS('3 Sunaudojimas'!$N$4:$N$163,'3 Sunaudojimas'!$L$4:$L$163,$D122))</x:f>
      </x:c>
    </x:row>
    <x:row r="123">
      <x:c r="A123" s="4"/>
      <x:c r="B123" s="3"/>
      <x:c r="C123" s="5"/>
      <x:c r="D123" s="16"/>
      <x:c r="E123" s="3"/>
      <x:c r="F123" s="3"/>
      <x:c r="G123" s="4"/>
      <x:c r="H123" s="3"/>
      <x:c r="I123" s="6" t="str">
        <x:f>IF($D123="","",SUMIFS('5 Žaliavų perdavimai'!$E$4:$E$203,'5 Žaliavų perdavimai'!$D$4:$D$203,$D123))</x:f>
      </x:c>
      <x:c r="J123" s="6" t="str">
        <x:f>IF($D123="","",$C123-$I123-SUMIFS('3 Sunaudojimas'!$H$4:$H$163,'3 Sunaudojimas'!$F$4:$F$163,$D123)-SUMIFS('3 Sunaudojimas'!$K$4:$K$163,'3 Sunaudojimas'!$I$4:$I$163,$D123)-SUMIFS('3 Sunaudojimas'!$N$4:$N$163,'3 Sunaudojimas'!$L$4:$L$163,$D123))</x:f>
      </x:c>
    </x:row>
    <x:row r="124">
      <x:c r="A124" s="4"/>
      <x:c r="B124" s="3"/>
      <x:c r="C124" s="5"/>
      <x:c r="D124" s="16"/>
      <x:c r="E124" s="3"/>
      <x:c r="F124" s="3"/>
      <x:c r="G124" s="4"/>
      <x:c r="H124" s="3"/>
      <x:c r="I124" s="6" t="str">
        <x:f>IF($D124="","",SUMIFS('5 Žaliavų perdavimai'!$E$4:$E$203,'5 Žaliavų perdavimai'!$D$4:$D$203,$D124))</x:f>
      </x:c>
      <x:c r="J124" s="6" t="str">
        <x:f>IF($D124="","",$C124-$I124-SUMIFS('3 Sunaudojimas'!$H$4:$H$163,'3 Sunaudojimas'!$F$4:$F$163,$D124)-SUMIFS('3 Sunaudojimas'!$K$4:$K$163,'3 Sunaudojimas'!$I$4:$I$163,$D124)-SUMIFS('3 Sunaudojimas'!$N$4:$N$163,'3 Sunaudojimas'!$L$4:$L$163,$D124))</x:f>
      </x:c>
    </x:row>
    <x:row r="125">
      <x:c r="A125" s="4"/>
      <x:c r="B125" s="3"/>
      <x:c r="C125" s="5"/>
      <x:c r="D125" s="16"/>
      <x:c r="E125" s="3"/>
      <x:c r="F125" s="3"/>
      <x:c r="G125" s="4"/>
      <x:c r="H125" s="3"/>
      <x:c r="I125" s="6" t="str">
        <x:f>IF($D125="","",SUMIFS('5 Žaliavų perdavimai'!$E$4:$E$203,'5 Žaliavų perdavimai'!$D$4:$D$203,$D125))</x:f>
      </x:c>
      <x:c r="J125" s="6" t="str">
        <x:f>IF($D125="","",$C125-$I125-SUMIFS('3 Sunaudojimas'!$H$4:$H$163,'3 Sunaudojimas'!$F$4:$F$163,$D125)-SUMIFS('3 Sunaudojimas'!$K$4:$K$163,'3 Sunaudojimas'!$I$4:$I$163,$D125)-SUMIFS('3 Sunaudojimas'!$N$4:$N$163,'3 Sunaudojimas'!$L$4:$L$163,$D125))</x:f>
      </x:c>
    </x:row>
    <x:row r="126">
      <x:c r="A126" s="4"/>
      <x:c r="B126" s="3"/>
      <x:c r="C126" s="5"/>
      <x:c r="D126" s="16"/>
      <x:c r="E126" s="3"/>
      <x:c r="F126" s="3"/>
      <x:c r="G126" s="4"/>
      <x:c r="H126" s="3"/>
      <x:c r="I126" s="6" t="str">
        <x:f>IF($D126="","",SUMIFS('5 Žaliavų perdavimai'!$E$4:$E$203,'5 Žaliavų perdavimai'!$D$4:$D$203,$D126))</x:f>
      </x:c>
      <x:c r="J126" s="6" t="str">
        <x:f>IF($D126="","",$C126-$I126-SUMIFS('3 Sunaudojimas'!$H$4:$H$163,'3 Sunaudojimas'!$F$4:$F$163,$D126)-SUMIFS('3 Sunaudojimas'!$K$4:$K$163,'3 Sunaudojimas'!$I$4:$I$163,$D126)-SUMIFS('3 Sunaudojimas'!$N$4:$N$163,'3 Sunaudojimas'!$L$4:$L$163,$D126))</x:f>
      </x:c>
    </x:row>
    <x:row r="127">
      <x:c r="A127" s="4"/>
      <x:c r="B127" s="3"/>
      <x:c r="C127" s="5"/>
      <x:c r="D127" s="16"/>
      <x:c r="E127" s="3"/>
      <x:c r="F127" s="3"/>
      <x:c r="G127" s="4"/>
      <x:c r="H127" s="3"/>
      <x:c r="I127" s="6" t="str">
        <x:f>IF($D127="","",SUMIFS('5 Žaliavų perdavimai'!$E$4:$E$203,'5 Žaliavų perdavimai'!$D$4:$D$203,$D127))</x:f>
      </x:c>
      <x:c r="J127" s="6" t="str">
        <x:f>IF($D127="","",$C127-$I127-SUMIFS('3 Sunaudojimas'!$H$4:$H$163,'3 Sunaudojimas'!$F$4:$F$163,$D127)-SUMIFS('3 Sunaudojimas'!$K$4:$K$163,'3 Sunaudojimas'!$I$4:$I$163,$D127)-SUMIFS('3 Sunaudojimas'!$N$4:$N$163,'3 Sunaudojimas'!$L$4:$L$163,$D127))</x:f>
      </x:c>
    </x:row>
    <x:row r="128">
      <x:c r="A128" s="4"/>
      <x:c r="B128" s="3"/>
      <x:c r="C128" s="5"/>
      <x:c r="D128" s="16"/>
      <x:c r="E128" s="3"/>
      <x:c r="F128" s="3"/>
      <x:c r="G128" s="4"/>
      <x:c r="H128" s="3"/>
      <x:c r="I128" s="6" t="str">
        <x:f>IF($D128="","",SUMIFS('5 Žaliavų perdavimai'!$E$4:$E$203,'5 Žaliavų perdavimai'!$D$4:$D$203,$D128))</x:f>
      </x:c>
      <x:c r="J128" s="6" t="str">
        <x:f>IF($D128="","",$C128-$I128-SUMIFS('3 Sunaudojimas'!$H$4:$H$163,'3 Sunaudojimas'!$F$4:$F$163,$D128)-SUMIFS('3 Sunaudojimas'!$K$4:$K$163,'3 Sunaudojimas'!$I$4:$I$163,$D128)-SUMIFS('3 Sunaudojimas'!$N$4:$N$163,'3 Sunaudojimas'!$L$4:$L$163,$D128))</x:f>
      </x:c>
    </x:row>
    <x:row r="129">
      <x:c r="A129" s="4"/>
      <x:c r="B129" s="3"/>
      <x:c r="C129" s="5"/>
      <x:c r="D129" s="16"/>
      <x:c r="E129" s="3"/>
      <x:c r="F129" s="3"/>
      <x:c r="G129" s="4"/>
      <x:c r="H129" s="3"/>
      <x:c r="I129" s="6" t="str">
        <x:f>IF($D129="","",SUMIFS('5 Žaliavų perdavimai'!$E$4:$E$203,'5 Žaliavų perdavimai'!$D$4:$D$203,$D129))</x:f>
      </x:c>
      <x:c r="J129" s="6" t="str">
        <x:f>IF($D129="","",$C129-$I129-SUMIFS('3 Sunaudojimas'!$H$4:$H$163,'3 Sunaudojimas'!$F$4:$F$163,$D129)-SUMIFS('3 Sunaudojimas'!$K$4:$K$163,'3 Sunaudojimas'!$I$4:$I$163,$D129)-SUMIFS('3 Sunaudojimas'!$N$4:$N$163,'3 Sunaudojimas'!$L$4:$L$163,$D129))</x:f>
      </x:c>
    </x:row>
    <x:row r="130">
      <x:c r="A130" s="4"/>
      <x:c r="B130" s="3"/>
      <x:c r="C130" s="5"/>
      <x:c r="D130" s="16"/>
      <x:c r="E130" s="3"/>
      <x:c r="F130" s="3"/>
      <x:c r="G130" s="4"/>
      <x:c r="H130" s="3"/>
      <x:c r="I130" s="6" t="str">
        <x:f>IF($D130="","",SUMIFS('5 Žaliavų perdavimai'!$E$4:$E$203,'5 Žaliavų perdavimai'!$D$4:$D$203,$D130))</x:f>
      </x:c>
      <x:c r="J130" s="6" t="str">
        <x:f>IF($D130="","",$C130-$I130-SUMIFS('3 Sunaudojimas'!$H$4:$H$163,'3 Sunaudojimas'!$F$4:$F$163,$D130)-SUMIFS('3 Sunaudojimas'!$K$4:$K$163,'3 Sunaudojimas'!$I$4:$I$163,$D130)-SUMIFS('3 Sunaudojimas'!$N$4:$N$163,'3 Sunaudojimas'!$L$4:$L$163,$D130))</x:f>
      </x:c>
    </x:row>
    <x:row r="131">
      <x:c r="A131" s="4"/>
      <x:c r="B131" s="3"/>
      <x:c r="C131" s="5"/>
      <x:c r="D131" s="16"/>
      <x:c r="E131" s="3"/>
      <x:c r="F131" s="3"/>
      <x:c r="G131" s="4"/>
      <x:c r="H131" s="3"/>
      <x:c r="I131" s="6" t="str">
        <x:f>IF($D131="","",SUMIFS('5 Žaliavų perdavimai'!$E$4:$E$203,'5 Žaliavų perdavimai'!$D$4:$D$203,$D131))</x:f>
      </x:c>
      <x:c r="J131" s="6" t="str">
        <x:f>IF($D131="","",$C131-$I131-SUMIFS('3 Sunaudojimas'!$H$4:$H$163,'3 Sunaudojimas'!$F$4:$F$163,$D131)-SUMIFS('3 Sunaudojimas'!$K$4:$K$163,'3 Sunaudojimas'!$I$4:$I$163,$D131)-SUMIFS('3 Sunaudojimas'!$N$4:$N$163,'3 Sunaudojimas'!$L$4:$L$163,$D131))</x:f>
      </x:c>
    </x:row>
    <x:row r="132">
      <x:c r="A132" s="4"/>
      <x:c r="B132" s="3"/>
      <x:c r="C132" s="5"/>
      <x:c r="D132" s="16"/>
      <x:c r="E132" s="3"/>
      <x:c r="F132" s="3"/>
      <x:c r="G132" s="4"/>
      <x:c r="H132" s="3"/>
      <x:c r="I132" s="6" t="str">
        <x:f>IF($D132="","",SUMIFS('5 Žaliavų perdavimai'!$E$4:$E$203,'5 Žaliavų perdavimai'!$D$4:$D$203,$D132))</x:f>
      </x:c>
      <x:c r="J132" s="6" t="str">
        <x:f>IF($D132="","",$C132-$I132-SUMIFS('3 Sunaudojimas'!$H$4:$H$163,'3 Sunaudojimas'!$F$4:$F$163,$D132)-SUMIFS('3 Sunaudojimas'!$K$4:$K$163,'3 Sunaudojimas'!$I$4:$I$163,$D132)-SUMIFS('3 Sunaudojimas'!$N$4:$N$163,'3 Sunaudojimas'!$L$4:$L$163,$D132))</x:f>
      </x:c>
    </x:row>
    <x:row r="133">
      <x:c r="A133" s="4"/>
      <x:c r="B133" s="3"/>
      <x:c r="C133" s="5"/>
      <x:c r="D133" s="16"/>
      <x:c r="E133" s="3"/>
      <x:c r="F133" s="3"/>
      <x:c r="G133" s="4"/>
      <x:c r="H133" s="3"/>
      <x:c r="I133" s="6" t="str">
        <x:f>IF($D133="","",SUMIFS('5 Žaliavų perdavimai'!$E$4:$E$203,'5 Žaliavų perdavimai'!$D$4:$D$203,$D133))</x:f>
      </x:c>
      <x:c r="J133" s="6" t="str">
        <x:f>IF($D133="","",$C133-$I133-SUMIFS('3 Sunaudojimas'!$H$4:$H$163,'3 Sunaudojimas'!$F$4:$F$163,$D133)-SUMIFS('3 Sunaudojimas'!$K$4:$K$163,'3 Sunaudojimas'!$I$4:$I$163,$D133)-SUMIFS('3 Sunaudojimas'!$N$4:$N$163,'3 Sunaudojimas'!$L$4:$L$163,$D133))</x:f>
      </x:c>
    </x:row>
    <x:row r="134">
      <x:c r="A134" s="4"/>
      <x:c r="B134" s="3"/>
      <x:c r="C134" s="5"/>
      <x:c r="D134" s="16"/>
      <x:c r="E134" s="3"/>
      <x:c r="F134" s="3"/>
      <x:c r="G134" s="4"/>
      <x:c r="H134" s="3"/>
      <x:c r="I134" s="6" t="str">
        <x:f>IF($D134="","",SUMIFS('5 Žaliavų perdavimai'!$E$4:$E$203,'5 Žaliavų perdavimai'!$D$4:$D$203,$D134))</x:f>
      </x:c>
      <x:c r="J134" s="6" t="str">
        <x:f>IF($D134="","",$C134-$I134-SUMIFS('3 Sunaudojimas'!$H$4:$H$163,'3 Sunaudojimas'!$F$4:$F$163,$D134)-SUMIFS('3 Sunaudojimas'!$K$4:$K$163,'3 Sunaudojimas'!$I$4:$I$163,$D134)-SUMIFS('3 Sunaudojimas'!$N$4:$N$163,'3 Sunaudojimas'!$L$4:$L$163,$D134))</x:f>
      </x:c>
    </x:row>
    <x:row r="135">
      <x:c r="A135" s="4"/>
      <x:c r="B135" s="3"/>
      <x:c r="C135" s="5"/>
      <x:c r="D135" s="16"/>
      <x:c r="E135" s="3"/>
      <x:c r="F135" s="3"/>
      <x:c r="G135" s="4"/>
      <x:c r="H135" s="3"/>
      <x:c r="I135" s="6" t="str">
        <x:f>IF($D135="","",SUMIFS('5 Žaliavų perdavimai'!$E$4:$E$203,'5 Žaliavų perdavimai'!$D$4:$D$203,$D135))</x:f>
      </x:c>
      <x:c r="J135" s="6" t="str">
        <x:f>IF($D135="","",$C135-$I135-SUMIFS('3 Sunaudojimas'!$H$4:$H$163,'3 Sunaudojimas'!$F$4:$F$163,$D135)-SUMIFS('3 Sunaudojimas'!$K$4:$K$163,'3 Sunaudojimas'!$I$4:$I$163,$D135)-SUMIFS('3 Sunaudojimas'!$N$4:$N$163,'3 Sunaudojimas'!$L$4:$L$163,$D135))</x:f>
      </x:c>
    </x:row>
    <x:row r="136">
      <x:c r="A136" s="4"/>
      <x:c r="B136" s="3"/>
      <x:c r="C136" s="5"/>
      <x:c r="D136" s="16"/>
      <x:c r="E136" s="3"/>
      <x:c r="F136" s="3"/>
      <x:c r="G136" s="4"/>
      <x:c r="H136" s="3"/>
      <x:c r="I136" s="6" t="str">
        <x:f>IF($D136="","",SUMIFS('5 Žaliavų perdavimai'!$E$4:$E$203,'5 Žaliavų perdavimai'!$D$4:$D$203,$D136))</x:f>
      </x:c>
      <x:c r="J136" s="6" t="str">
        <x:f>IF($D136="","",$C136-$I136-SUMIFS('3 Sunaudojimas'!$H$4:$H$163,'3 Sunaudojimas'!$F$4:$F$163,$D136)-SUMIFS('3 Sunaudojimas'!$K$4:$K$163,'3 Sunaudojimas'!$I$4:$I$163,$D136)-SUMIFS('3 Sunaudojimas'!$N$4:$N$163,'3 Sunaudojimas'!$L$4:$L$163,$D136))</x:f>
      </x:c>
    </x:row>
    <x:row r="137">
      <x:c r="A137" s="4"/>
      <x:c r="B137" s="3"/>
      <x:c r="C137" s="5"/>
      <x:c r="D137" s="16"/>
      <x:c r="E137" s="3"/>
      <x:c r="F137" s="3"/>
      <x:c r="G137" s="4"/>
      <x:c r="H137" s="3"/>
      <x:c r="I137" s="6" t="str">
        <x:f>IF($D137="","",SUMIFS('5 Žaliavų perdavimai'!$E$4:$E$203,'5 Žaliavų perdavimai'!$D$4:$D$203,$D137))</x:f>
      </x:c>
      <x:c r="J137" s="6" t="str">
        <x:f>IF($D137="","",$C137-$I137-SUMIFS('3 Sunaudojimas'!$H$4:$H$163,'3 Sunaudojimas'!$F$4:$F$163,$D137)-SUMIFS('3 Sunaudojimas'!$K$4:$K$163,'3 Sunaudojimas'!$I$4:$I$163,$D137)-SUMIFS('3 Sunaudojimas'!$N$4:$N$163,'3 Sunaudojimas'!$L$4:$L$163,$D137))</x:f>
      </x:c>
    </x:row>
    <x:row r="138">
      <x:c r="A138" s="4"/>
      <x:c r="B138" s="3"/>
      <x:c r="C138" s="5"/>
      <x:c r="D138" s="16"/>
      <x:c r="E138" s="3"/>
      <x:c r="F138" s="3"/>
      <x:c r="G138" s="4"/>
      <x:c r="H138" s="3"/>
      <x:c r="I138" s="6" t="str">
        <x:f>IF($D138="","",SUMIFS('5 Žaliavų perdavimai'!$E$4:$E$203,'5 Žaliavų perdavimai'!$D$4:$D$203,$D138))</x:f>
      </x:c>
      <x:c r="J138" s="6" t="str">
        <x:f>IF($D138="","",$C138-$I138-SUMIFS('3 Sunaudojimas'!$H$4:$H$163,'3 Sunaudojimas'!$F$4:$F$163,$D138)-SUMIFS('3 Sunaudojimas'!$K$4:$K$163,'3 Sunaudojimas'!$I$4:$I$163,$D138)-SUMIFS('3 Sunaudojimas'!$N$4:$N$163,'3 Sunaudojimas'!$L$4:$L$163,$D138))</x:f>
      </x:c>
    </x:row>
    <x:row r="139">
      <x:c r="A139" s="4"/>
      <x:c r="B139" s="3"/>
      <x:c r="C139" s="5"/>
      <x:c r="D139" s="16"/>
      <x:c r="E139" s="3"/>
      <x:c r="F139" s="3"/>
      <x:c r="G139" s="4"/>
      <x:c r="H139" s="3"/>
      <x:c r="I139" s="6" t="str">
        <x:f>IF($D139="","",SUMIFS('5 Žaliavų perdavimai'!$E$4:$E$203,'5 Žaliavų perdavimai'!$D$4:$D$203,$D139))</x:f>
      </x:c>
      <x:c r="J139" s="6" t="str">
        <x:f>IF($D139="","",$C139-$I139-SUMIFS('3 Sunaudojimas'!$H$4:$H$163,'3 Sunaudojimas'!$F$4:$F$163,$D139)-SUMIFS('3 Sunaudojimas'!$K$4:$K$163,'3 Sunaudojimas'!$I$4:$I$163,$D139)-SUMIFS('3 Sunaudojimas'!$N$4:$N$163,'3 Sunaudojimas'!$L$4:$L$163,$D139))</x:f>
      </x:c>
    </x:row>
    <x:row r="140">
      <x:c r="A140" s="4"/>
      <x:c r="B140" s="3"/>
      <x:c r="C140" s="5"/>
      <x:c r="D140" s="16"/>
      <x:c r="E140" s="3"/>
      <x:c r="F140" s="3"/>
      <x:c r="G140" s="4"/>
      <x:c r="H140" s="3"/>
      <x:c r="I140" s="6" t="str">
        <x:f>IF($D140="","",SUMIFS('5 Žaliavų perdavimai'!$E$4:$E$203,'5 Žaliavų perdavimai'!$D$4:$D$203,$D140))</x:f>
      </x:c>
      <x:c r="J140" s="6" t="str">
        <x:f>IF($D140="","",$C140-$I140-SUMIFS('3 Sunaudojimas'!$H$4:$H$163,'3 Sunaudojimas'!$F$4:$F$163,$D140)-SUMIFS('3 Sunaudojimas'!$K$4:$K$163,'3 Sunaudojimas'!$I$4:$I$163,$D140)-SUMIFS('3 Sunaudojimas'!$N$4:$N$163,'3 Sunaudojimas'!$L$4:$L$163,$D140))</x:f>
      </x:c>
    </x:row>
    <x:row r="141">
      <x:c r="A141" s="4"/>
      <x:c r="B141" s="3"/>
      <x:c r="C141" s="5"/>
      <x:c r="D141" s="16"/>
      <x:c r="E141" s="3"/>
      <x:c r="F141" s="3"/>
      <x:c r="G141" s="4"/>
      <x:c r="H141" s="3"/>
      <x:c r="I141" s="6" t="str">
        <x:f>IF($D141="","",SUMIFS('5 Žaliavų perdavimai'!$E$4:$E$203,'5 Žaliavų perdavimai'!$D$4:$D$203,$D141))</x:f>
      </x:c>
      <x:c r="J141" s="6" t="str">
        <x:f>IF($D141="","",$C141-$I141-SUMIFS('3 Sunaudojimas'!$H$4:$H$163,'3 Sunaudojimas'!$F$4:$F$163,$D141)-SUMIFS('3 Sunaudojimas'!$K$4:$K$163,'3 Sunaudojimas'!$I$4:$I$163,$D141)-SUMIFS('3 Sunaudojimas'!$N$4:$N$163,'3 Sunaudojimas'!$L$4:$L$163,$D141))</x:f>
      </x:c>
    </x:row>
    <x:row r="142">
      <x:c r="A142" s="4"/>
      <x:c r="B142" s="3"/>
      <x:c r="C142" s="5"/>
      <x:c r="D142" s="16"/>
      <x:c r="E142" s="3"/>
      <x:c r="F142" s="3"/>
      <x:c r="G142" s="4"/>
      <x:c r="H142" s="3"/>
      <x:c r="I142" s="6" t="str">
        <x:f>IF($D142="","",SUMIFS('5 Žaliavų perdavimai'!$E$4:$E$203,'5 Žaliavų perdavimai'!$D$4:$D$203,$D142))</x:f>
      </x:c>
      <x:c r="J142" s="6" t="str">
        <x:f>IF($D142="","",$C142-$I142-SUMIFS('3 Sunaudojimas'!$H$4:$H$163,'3 Sunaudojimas'!$F$4:$F$163,$D142)-SUMIFS('3 Sunaudojimas'!$K$4:$K$163,'3 Sunaudojimas'!$I$4:$I$163,$D142)-SUMIFS('3 Sunaudojimas'!$N$4:$N$163,'3 Sunaudojimas'!$L$4:$L$163,$D142))</x:f>
      </x:c>
    </x:row>
    <x:row r="143">
      <x:c r="A143" s="4"/>
      <x:c r="B143" s="3"/>
      <x:c r="C143" s="5"/>
      <x:c r="D143" s="16"/>
      <x:c r="E143" s="3"/>
      <x:c r="F143" s="3"/>
      <x:c r="G143" s="4"/>
      <x:c r="H143" s="3"/>
      <x:c r="I143" s="6" t="str">
        <x:f>IF($D143="","",SUMIFS('5 Žaliavų perdavimai'!$E$4:$E$203,'5 Žaliavų perdavimai'!$D$4:$D$203,$D143))</x:f>
      </x:c>
      <x:c r="J143" s="6" t="str">
        <x:f>IF($D143="","",$C143-$I143-SUMIFS('3 Sunaudojimas'!$H$4:$H$163,'3 Sunaudojimas'!$F$4:$F$163,$D143)-SUMIFS('3 Sunaudojimas'!$K$4:$K$163,'3 Sunaudojimas'!$I$4:$I$163,$D143)-SUMIFS('3 Sunaudojimas'!$N$4:$N$163,'3 Sunaudojimas'!$L$4:$L$163,$D143))</x:f>
      </x:c>
    </x:row>
    <x:row r="144">
      <x:c r="A144" s="4"/>
      <x:c r="B144" s="3"/>
      <x:c r="C144" s="5"/>
      <x:c r="D144" s="16"/>
      <x:c r="E144" s="3"/>
      <x:c r="F144" s="3"/>
      <x:c r="G144" s="4"/>
      <x:c r="H144" s="3"/>
      <x:c r="I144" s="6" t="str">
        <x:f>IF($D144="","",SUMIFS('5 Žaliavų perdavimai'!$E$4:$E$203,'5 Žaliavų perdavimai'!$D$4:$D$203,$D144))</x:f>
      </x:c>
      <x:c r="J144" s="6" t="str">
        <x:f>IF($D144="","",$C144-$I144-SUMIFS('3 Sunaudojimas'!$H$4:$H$163,'3 Sunaudojimas'!$F$4:$F$163,$D144)-SUMIFS('3 Sunaudojimas'!$K$4:$K$163,'3 Sunaudojimas'!$I$4:$I$163,$D144)-SUMIFS('3 Sunaudojimas'!$N$4:$N$163,'3 Sunaudojimas'!$L$4:$L$163,$D144))</x:f>
      </x:c>
    </x:row>
    <x:row r="145">
      <x:c r="A145" s="4"/>
      <x:c r="B145" s="3"/>
      <x:c r="C145" s="5"/>
      <x:c r="D145" s="16"/>
      <x:c r="E145" s="3"/>
      <x:c r="F145" s="3"/>
      <x:c r="G145" s="4"/>
      <x:c r="H145" s="3"/>
      <x:c r="I145" s="6" t="str">
        <x:f>IF($D145="","",SUMIFS('5 Žaliavų perdavimai'!$E$4:$E$203,'5 Žaliavų perdavimai'!$D$4:$D$203,$D145))</x:f>
      </x:c>
      <x:c r="J145" s="6" t="str">
        <x:f>IF($D145="","",$C145-$I145-SUMIFS('3 Sunaudojimas'!$H$4:$H$163,'3 Sunaudojimas'!$F$4:$F$163,$D145)-SUMIFS('3 Sunaudojimas'!$K$4:$K$163,'3 Sunaudojimas'!$I$4:$I$163,$D145)-SUMIFS('3 Sunaudojimas'!$N$4:$N$163,'3 Sunaudojimas'!$L$4:$L$163,$D145))</x:f>
      </x:c>
    </x:row>
    <x:row r="146">
      <x:c r="A146" s="4"/>
      <x:c r="B146" s="3"/>
      <x:c r="C146" s="5"/>
      <x:c r="D146" s="16"/>
      <x:c r="E146" s="3"/>
      <x:c r="F146" s="3"/>
      <x:c r="G146" s="4"/>
      <x:c r="H146" s="3"/>
      <x:c r="I146" s="6" t="str">
        <x:f>IF($D146="","",SUMIFS('5 Žaliavų perdavimai'!$E$4:$E$203,'5 Žaliavų perdavimai'!$D$4:$D$203,$D146))</x:f>
      </x:c>
      <x:c r="J146" s="6" t="str">
        <x:f>IF($D146="","",$C146-$I146-SUMIFS('3 Sunaudojimas'!$H$4:$H$163,'3 Sunaudojimas'!$F$4:$F$163,$D146)-SUMIFS('3 Sunaudojimas'!$K$4:$K$163,'3 Sunaudojimas'!$I$4:$I$163,$D146)-SUMIFS('3 Sunaudojimas'!$N$4:$N$163,'3 Sunaudojimas'!$L$4:$L$163,$D146))</x:f>
      </x:c>
    </x:row>
    <x:row r="147">
      <x:c r="A147" s="4"/>
      <x:c r="B147" s="3"/>
      <x:c r="C147" s="5"/>
      <x:c r="D147" s="16"/>
      <x:c r="E147" s="3"/>
      <x:c r="F147" s="3"/>
      <x:c r="G147" s="4"/>
      <x:c r="H147" s="3"/>
      <x:c r="I147" s="6" t="str">
        <x:f>IF($D147="","",SUMIFS('5 Žaliavų perdavimai'!$E$4:$E$203,'5 Žaliavų perdavimai'!$D$4:$D$203,$D147))</x:f>
      </x:c>
      <x:c r="J147" s="6" t="str">
        <x:f>IF($D147="","",$C147-$I147-SUMIFS('3 Sunaudojimas'!$H$4:$H$163,'3 Sunaudojimas'!$F$4:$F$163,$D147)-SUMIFS('3 Sunaudojimas'!$K$4:$K$163,'3 Sunaudojimas'!$I$4:$I$163,$D147)-SUMIFS('3 Sunaudojimas'!$N$4:$N$163,'3 Sunaudojimas'!$L$4:$L$163,$D147))</x:f>
      </x:c>
    </x:row>
    <x:row r="148">
      <x:c r="A148" s="4"/>
      <x:c r="B148" s="3"/>
      <x:c r="C148" s="5"/>
      <x:c r="D148" s="16"/>
      <x:c r="E148" s="3"/>
      <x:c r="F148" s="3"/>
      <x:c r="G148" s="4"/>
      <x:c r="H148" s="3"/>
      <x:c r="I148" s="6" t="str">
        <x:f>IF($D148="","",SUMIFS('5 Žaliavų perdavimai'!$E$4:$E$203,'5 Žaliavų perdavimai'!$D$4:$D$203,$D148))</x:f>
      </x:c>
      <x:c r="J148" s="6" t="str">
        <x:f>IF($D148="","",$C148-$I148-SUMIFS('3 Sunaudojimas'!$H$4:$H$163,'3 Sunaudojimas'!$F$4:$F$163,$D148)-SUMIFS('3 Sunaudojimas'!$K$4:$K$163,'3 Sunaudojimas'!$I$4:$I$163,$D148)-SUMIFS('3 Sunaudojimas'!$N$4:$N$163,'3 Sunaudojimas'!$L$4:$L$163,$D148))</x:f>
      </x:c>
    </x:row>
    <x:row r="149">
      <x:c r="A149" s="4"/>
      <x:c r="B149" s="3"/>
      <x:c r="C149" s="5"/>
      <x:c r="D149" s="16"/>
      <x:c r="E149" s="3"/>
      <x:c r="F149" s="3"/>
      <x:c r="G149" s="4"/>
      <x:c r="H149" s="3"/>
      <x:c r="I149" s="6" t="str">
        <x:f>IF($D149="","",SUMIFS('5 Žaliavų perdavimai'!$E$4:$E$203,'5 Žaliavų perdavimai'!$D$4:$D$203,$D149))</x:f>
      </x:c>
      <x:c r="J149" s="6" t="str">
        <x:f>IF($D149="","",$C149-$I149-SUMIFS('3 Sunaudojimas'!$H$4:$H$163,'3 Sunaudojimas'!$F$4:$F$163,$D149)-SUMIFS('3 Sunaudojimas'!$K$4:$K$163,'3 Sunaudojimas'!$I$4:$I$163,$D149)-SUMIFS('3 Sunaudojimas'!$N$4:$N$163,'3 Sunaudojimas'!$L$4:$L$163,$D149))</x:f>
      </x:c>
    </x:row>
    <x:row r="150">
      <x:c r="A150" s="4"/>
      <x:c r="B150" s="3"/>
      <x:c r="C150" s="5"/>
      <x:c r="D150" s="16"/>
      <x:c r="E150" s="3"/>
      <x:c r="F150" s="3"/>
      <x:c r="G150" s="4"/>
      <x:c r="H150" s="3"/>
      <x:c r="I150" s="6" t="str">
        <x:f>IF($D150="","",SUMIFS('5 Žaliavų perdavimai'!$E$4:$E$203,'5 Žaliavų perdavimai'!$D$4:$D$203,$D150))</x:f>
      </x:c>
      <x:c r="J150" s="6" t="str">
        <x:f>IF($D150="","",$C150-$I150-SUMIFS('3 Sunaudojimas'!$H$4:$H$163,'3 Sunaudojimas'!$F$4:$F$163,$D150)-SUMIFS('3 Sunaudojimas'!$K$4:$K$163,'3 Sunaudojimas'!$I$4:$I$163,$D150)-SUMIFS('3 Sunaudojimas'!$N$4:$N$163,'3 Sunaudojimas'!$L$4:$L$163,$D150))</x:f>
      </x:c>
    </x:row>
    <x:row r="151">
      <x:c r="A151" s="4"/>
      <x:c r="B151" s="3"/>
      <x:c r="C151" s="5"/>
      <x:c r="D151" s="16"/>
      <x:c r="E151" s="3"/>
      <x:c r="F151" s="3"/>
      <x:c r="G151" s="4"/>
      <x:c r="H151" s="3"/>
      <x:c r="I151" s="6" t="str">
        <x:f>IF($D151="","",SUMIFS('5 Žaliavų perdavimai'!$E$4:$E$203,'5 Žaliavų perdavimai'!$D$4:$D$203,$D151))</x:f>
      </x:c>
      <x:c r="J151" s="6" t="str">
        <x:f>IF($D151="","",$C151-$I151-SUMIFS('3 Sunaudojimas'!$H$4:$H$163,'3 Sunaudojimas'!$F$4:$F$163,$D151)-SUMIFS('3 Sunaudojimas'!$K$4:$K$163,'3 Sunaudojimas'!$I$4:$I$163,$D151)-SUMIFS('3 Sunaudojimas'!$N$4:$N$163,'3 Sunaudojimas'!$L$4:$L$163,$D151))</x:f>
      </x:c>
    </x:row>
    <x:row r="152">
      <x:c r="A152" s="4"/>
      <x:c r="B152" s="3"/>
      <x:c r="C152" s="5"/>
      <x:c r="D152" s="16"/>
      <x:c r="E152" s="3"/>
      <x:c r="F152" s="3"/>
      <x:c r="G152" s="4"/>
      <x:c r="H152" s="3"/>
      <x:c r="I152" s="6" t="str">
        <x:f>IF($D152="","",SUMIFS('5 Žaliavų perdavimai'!$E$4:$E$203,'5 Žaliavų perdavimai'!$D$4:$D$203,$D152))</x:f>
      </x:c>
      <x:c r="J152" s="6" t="str">
        <x:f>IF($D152="","",$C152-$I152-SUMIFS('3 Sunaudojimas'!$H$4:$H$163,'3 Sunaudojimas'!$F$4:$F$163,$D152)-SUMIFS('3 Sunaudojimas'!$K$4:$K$163,'3 Sunaudojimas'!$I$4:$I$163,$D152)-SUMIFS('3 Sunaudojimas'!$N$4:$N$163,'3 Sunaudojimas'!$L$4:$L$163,$D152))</x:f>
      </x:c>
    </x:row>
    <x:row r="153">
      <x:c r="A153" s="4"/>
      <x:c r="B153" s="3"/>
      <x:c r="C153" s="5"/>
      <x:c r="D153" s="16"/>
      <x:c r="E153" s="3"/>
      <x:c r="F153" s="3"/>
      <x:c r="G153" s="4"/>
      <x:c r="H153" s="3"/>
      <x:c r="I153" s="6" t="str">
        <x:f>IF($D153="","",SUMIFS('5 Žaliavų perdavimai'!$E$4:$E$203,'5 Žaliavų perdavimai'!$D$4:$D$203,$D153))</x:f>
      </x:c>
      <x:c r="J153" s="6" t="str">
        <x:f>IF($D153="","",$C153-$I153-SUMIFS('3 Sunaudojimas'!$H$4:$H$163,'3 Sunaudojimas'!$F$4:$F$163,$D153)-SUMIFS('3 Sunaudojimas'!$K$4:$K$163,'3 Sunaudojimas'!$I$4:$I$163,$D153)-SUMIFS('3 Sunaudojimas'!$N$4:$N$163,'3 Sunaudojimas'!$L$4:$L$163,$D153))</x:f>
      </x:c>
    </x:row>
    <x:row r="154">
      <x:c r="A154" s="4"/>
      <x:c r="B154" s="3"/>
      <x:c r="C154" s="5"/>
      <x:c r="D154" s="16"/>
      <x:c r="E154" s="3"/>
      <x:c r="F154" s="3"/>
      <x:c r="G154" s="4"/>
      <x:c r="H154" s="3"/>
      <x:c r="I154" s="6" t="str">
        <x:f>IF($D154="","",SUMIFS('5 Žaliavų perdavimai'!$E$4:$E$203,'5 Žaliavų perdavimai'!$D$4:$D$203,$D154))</x:f>
      </x:c>
      <x:c r="J154" s="6" t="str">
        <x:f>IF($D154="","",$C154-$I154-SUMIFS('3 Sunaudojimas'!$H$4:$H$163,'3 Sunaudojimas'!$F$4:$F$163,$D154)-SUMIFS('3 Sunaudojimas'!$K$4:$K$163,'3 Sunaudojimas'!$I$4:$I$163,$D154)-SUMIFS('3 Sunaudojimas'!$N$4:$N$163,'3 Sunaudojimas'!$L$4:$L$163,$D154))</x:f>
      </x:c>
    </x:row>
    <x:row r="155">
      <x:c r="A155" s="4"/>
      <x:c r="B155" s="3"/>
      <x:c r="C155" s="5"/>
      <x:c r="D155" s="16"/>
      <x:c r="E155" s="3"/>
      <x:c r="F155" s="3"/>
      <x:c r="G155" s="4"/>
      <x:c r="H155" s="3"/>
      <x:c r="I155" s="6" t="str">
        <x:f>IF($D155="","",SUMIFS('5 Žaliavų perdavimai'!$E$4:$E$203,'5 Žaliavų perdavimai'!$D$4:$D$203,$D155))</x:f>
      </x:c>
      <x:c r="J155" s="6" t="str">
        <x:f>IF($D155="","",$C155-$I155-SUMIFS('3 Sunaudojimas'!$H$4:$H$163,'3 Sunaudojimas'!$F$4:$F$163,$D155)-SUMIFS('3 Sunaudojimas'!$K$4:$K$163,'3 Sunaudojimas'!$I$4:$I$163,$D155)-SUMIFS('3 Sunaudojimas'!$N$4:$N$163,'3 Sunaudojimas'!$L$4:$L$163,$D155))</x:f>
      </x:c>
    </x:row>
    <x:row r="156">
      <x:c r="A156" s="4"/>
      <x:c r="B156" s="3"/>
      <x:c r="C156" s="5"/>
      <x:c r="D156" s="16"/>
      <x:c r="E156" s="3"/>
      <x:c r="F156" s="3"/>
      <x:c r="G156" s="4"/>
      <x:c r="H156" s="3"/>
      <x:c r="I156" s="6" t="str">
        <x:f>IF($D156="","",SUMIFS('5 Žaliavų perdavimai'!$E$4:$E$203,'5 Žaliavų perdavimai'!$D$4:$D$203,$D156))</x:f>
      </x:c>
      <x:c r="J156" s="6" t="str">
        <x:f>IF($D156="","",$C156-$I156-SUMIFS('3 Sunaudojimas'!$H$4:$H$163,'3 Sunaudojimas'!$F$4:$F$163,$D156)-SUMIFS('3 Sunaudojimas'!$K$4:$K$163,'3 Sunaudojimas'!$I$4:$I$163,$D156)-SUMIFS('3 Sunaudojimas'!$N$4:$N$163,'3 Sunaudojimas'!$L$4:$L$163,$D156))</x:f>
      </x:c>
    </x:row>
    <x:row r="157">
      <x:c r="A157" s="4"/>
      <x:c r="B157" s="3"/>
      <x:c r="C157" s="5"/>
      <x:c r="D157" s="16"/>
      <x:c r="E157" s="3"/>
      <x:c r="F157" s="3"/>
      <x:c r="G157" s="4"/>
      <x:c r="H157" s="3"/>
      <x:c r="I157" s="6" t="str">
        <x:f>IF($D157="","",SUMIFS('5 Žaliavų perdavimai'!$E$4:$E$203,'5 Žaliavų perdavimai'!$D$4:$D$203,$D157))</x:f>
      </x:c>
      <x:c r="J157" s="6" t="str">
        <x:f>IF($D157="","",$C157-$I157-SUMIFS('3 Sunaudojimas'!$H$4:$H$163,'3 Sunaudojimas'!$F$4:$F$163,$D157)-SUMIFS('3 Sunaudojimas'!$K$4:$K$163,'3 Sunaudojimas'!$I$4:$I$163,$D157)-SUMIFS('3 Sunaudojimas'!$N$4:$N$163,'3 Sunaudojimas'!$L$4:$L$163,$D157))</x:f>
      </x:c>
    </x:row>
    <x:row r="158">
      <x:c r="A158" s="4"/>
      <x:c r="B158" s="3"/>
      <x:c r="C158" s="5"/>
      <x:c r="D158" s="16"/>
      <x:c r="E158" s="3"/>
      <x:c r="F158" s="3"/>
      <x:c r="G158" s="4"/>
      <x:c r="H158" s="3"/>
      <x:c r="I158" s="6" t="str">
        <x:f>IF($D158="","",SUMIFS('5 Žaliavų perdavimai'!$E$4:$E$203,'5 Žaliavų perdavimai'!$D$4:$D$203,$D158))</x:f>
      </x:c>
      <x:c r="J158" s="6" t="str">
        <x:f>IF($D158="","",$C158-$I158-SUMIFS('3 Sunaudojimas'!$H$4:$H$163,'3 Sunaudojimas'!$F$4:$F$163,$D158)-SUMIFS('3 Sunaudojimas'!$K$4:$K$163,'3 Sunaudojimas'!$I$4:$I$163,$D158)-SUMIFS('3 Sunaudojimas'!$N$4:$N$163,'3 Sunaudojimas'!$L$4:$L$163,$D158))</x:f>
      </x:c>
    </x:row>
    <x:row r="159">
      <x:c r="A159" s="4"/>
      <x:c r="B159" s="3"/>
      <x:c r="C159" s="5"/>
      <x:c r="D159" s="16"/>
      <x:c r="E159" s="3"/>
      <x:c r="F159" s="3"/>
      <x:c r="G159" s="4"/>
      <x:c r="H159" s="3"/>
      <x:c r="I159" s="6" t="str">
        <x:f>IF($D159="","",SUMIFS('5 Žaliavų perdavimai'!$E$4:$E$203,'5 Žaliavų perdavimai'!$D$4:$D$203,$D159))</x:f>
      </x:c>
      <x:c r="J159" s="6" t="str">
        <x:f>IF($D159="","",$C159-$I159-SUMIFS('3 Sunaudojimas'!$H$4:$H$163,'3 Sunaudojimas'!$F$4:$F$163,$D159)-SUMIFS('3 Sunaudojimas'!$K$4:$K$163,'3 Sunaudojimas'!$I$4:$I$163,$D159)-SUMIFS('3 Sunaudojimas'!$N$4:$N$163,'3 Sunaudojimas'!$L$4:$L$163,$D159))</x:f>
      </x:c>
    </x:row>
    <x:row r="160">
      <x:c r="A160" s="4"/>
      <x:c r="B160" s="3"/>
      <x:c r="C160" s="5"/>
      <x:c r="D160" s="16"/>
      <x:c r="E160" s="3"/>
      <x:c r="F160" s="3"/>
      <x:c r="G160" s="4"/>
      <x:c r="H160" s="3"/>
      <x:c r="I160" s="6" t="str">
        <x:f>IF($D160="","",SUMIFS('5 Žaliavų perdavimai'!$E$4:$E$203,'5 Žaliavų perdavimai'!$D$4:$D$203,$D160))</x:f>
      </x:c>
      <x:c r="J160" s="6" t="str">
        <x:f>IF($D160="","",$C160-$I160-SUMIFS('3 Sunaudojimas'!$H$4:$H$163,'3 Sunaudojimas'!$F$4:$F$163,$D160)-SUMIFS('3 Sunaudojimas'!$K$4:$K$163,'3 Sunaudojimas'!$I$4:$I$163,$D160)-SUMIFS('3 Sunaudojimas'!$N$4:$N$163,'3 Sunaudojimas'!$L$4:$L$163,$D160))</x:f>
      </x:c>
    </x:row>
    <x:row r="161">
      <x:c r="A161" s="4"/>
      <x:c r="B161" s="3"/>
      <x:c r="C161" s="5"/>
      <x:c r="D161" s="16"/>
      <x:c r="E161" s="3"/>
      <x:c r="F161" s="3"/>
      <x:c r="G161" s="4"/>
      <x:c r="H161" s="3"/>
      <x:c r="I161" s="6" t="str">
        <x:f>IF($D161="","",SUMIFS('5 Žaliavų perdavimai'!$E$4:$E$203,'5 Žaliavų perdavimai'!$D$4:$D$203,$D161))</x:f>
      </x:c>
      <x:c r="J161" s="6" t="str">
        <x:f>IF($D161="","",$C161-$I161-SUMIFS('3 Sunaudojimas'!$H$4:$H$163,'3 Sunaudojimas'!$F$4:$F$163,$D161)-SUMIFS('3 Sunaudojimas'!$K$4:$K$163,'3 Sunaudojimas'!$I$4:$I$163,$D161)-SUMIFS('3 Sunaudojimas'!$N$4:$N$163,'3 Sunaudojimas'!$L$4:$L$163,$D161))</x:f>
      </x:c>
    </x:row>
    <x:row r="162">
      <x:c r="A162" s="4"/>
      <x:c r="B162" s="3"/>
      <x:c r="C162" s="5"/>
      <x:c r="D162" s="16"/>
      <x:c r="E162" s="3"/>
      <x:c r="F162" s="3"/>
      <x:c r="G162" s="4"/>
      <x:c r="H162" s="3"/>
      <x:c r="I162" s="6" t="str">
        <x:f>IF($D162="","",SUMIFS('5 Žaliavų perdavimai'!$E$4:$E$203,'5 Žaliavų perdavimai'!$D$4:$D$203,$D162))</x:f>
      </x:c>
      <x:c r="J162" s="6" t="str">
        <x:f>IF($D162="","",$C162-$I162-SUMIFS('3 Sunaudojimas'!$H$4:$H$163,'3 Sunaudojimas'!$F$4:$F$163,$D162)-SUMIFS('3 Sunaudojimas'!$K$4:$K$163,'3 Sunaudojimas'!$I$4:$I$163,$D162)-SUMIFS('3 Sunaudojimas'!$N$4:$N$163,'3 Sunaudojimas'!$L$4:$L$163,$D162))</x:f>
      </x:c>
    </x:row>
    <x:row r="163">
      <x:c r="A163" s="4"/>
      <x:c r="B163" s="3"/>
      <x:c r="C163" s="5"/>
      <x:c r="D163" s="16"/>
      <x:c r="E163" s="3"/>
      <x:c r="F163" s="3"/>
      <x:c r="G163" s="4"/>
      <x:c r="H163" s="3"/>
      <x:c r="I163" s="6" t="str">
        <x:f>IF($D163="","",SUMIFS('5 Žaliavų perdavimai'!$E$4:$E$203,'5 Žaliavų perdavimai'!$D$4:$D$203,$D163))</x:f>
      </x:c>
      <x:c r="J163" s="6" t="str">
        <x:f>IF($D163="","",$C163-$I163-SUMIFS('3 Sunaudojimas'!$H$4:$H$163,'3 Sunaudojimas'!$F$4:$F$163,$D163)-SUMIFS('3 Sunaudojimas'!$K$4:$K$163,'3 Sunaudojimas'!$I$4:$I$163,$D163)-SUMIFS('3 Sunaudojimas'!$N$4:$N$163,'3 Sunaudojimas'!$L$4:$L$163,$D163))</x:f>
      </x:c>
    </x:row>
    <x:row r="164">
      <x:c r="A164" s="4"/>
      <x:c r="B164" s="3"/>
      <x:c r="C164" s="5"/>
      <x:c r="D164" s="16"/>
      <x:c r="E164" s="3"/>
      <x:c r="F164" s="3"/>
      <x:c r="G164" s="4"/>
      <x:c r="H164" s="3"/>
      <x:c r="I164" s="6" t="str">
        <x:f>IF($D164="","",SUMIFS('5 Žaliavų perdavimai'!$E$4:$E$203,'5 Žaliavų perdavimai'!$D$4:$D$203,$D164))</x:f>
      </x:c>
      <x:c r="J164" s="6" t="str">
        <x:f>IF($D164="","",$C164-$I164-SUMIFS('3 Sunaudojimas'!$H$4:$H$163,'3 Sunaudojimas'!$F$4:$F$163,$D164)-SUMIFS('3 Sunaudojimas'!$K$4:$K$163,'3 Sunaudojimas'!$I$4:$I$163,$D164)-SUMIFS('3 Sunaudojimas'!$N$4:$N$163,'3 Sunaudojimas'!$L$4:$L$163,$D164))</x:f>
      </x:c>
    </x:row>
    <x:row r="165">
      <x:c r="A165" s="4"/>
      <x:c r="B165" s="3"/>
      <x:c r="C165" s="5"/>
      <x:c r="D165" s="16"/>
      <x:c r="E165" s="3"/>
      <x:c r="F165" s="3"/>
      <x:c r="G165" s="4"/>
      <x:c r="H165" s="3"/>
      <x:c r="I165" s="6" t="str">
        <x:f>IF($D165="","",SUMIFS('5 Žaliavų perdavimai'!$E$4:$E$203,'5 Žaliavų perdavimai'!$D$4:$D$203,$D165))</x:f>
      </x:c>
      <x:c r="J165" s="6" t="str">
        <x:f>IF($D165="","",$C165-$I165-SUMIFS('3 Sunaudojimas'!$H$4:$H$163,'3 Sunaudojimas'!$F$4:$F$163,$D165)-SUMIFS('3 Sunaudojimas'!$K$4:$K$163,'3 Sunaudojimas'!$I$4:$I$163,$D165)-SUMIFS('3 Sunaudojimas'!$N$4:$N$163,'3 Sunaudojimas'!$L$4:$L$163,$D165))</x:f>
      </x:c>
    </x:row>
    <x:row r="166">
      <x:c r="A166" s="4"/>
      <x:c r="B166" s="3"/>
      <x:c r="C166" s="5"/>
      <x:c r="D166" s="16"/>
      <x:c r="E166" s="3"/>
      <x:c r="F166" s="3"/>
      <x:c r="G166" s="4"/>
      <x:c r="H166" s="3"/>
      <x:c r="I166" s="6" t="str">
        <x:f>IF($D166="","",SUMIFS('5 Žaliavų perdavimai'!$E$4:$E$203,'5 Žaliavų perdavimai'!$D$4:$D$203,$D166))</x:f>
      </x:c>
      <x:c r="J166" s="6" t="str">
        <x:f>IF($D166="","",$C166-$I166-SUMIFS('3 Sunaudojimas'!$H$4:$H$163,'3 Sunaudojimas'!$F$4:$F$163,$D166)-SUMIFS('3 Sunaudojimas'!$K$4:$K$163,'3 Sunaudojimas'!$I$4:$I$163,$D166)-SUMIFS('3 Sunaudojimas'!$N$4:$N$163,'3 Sunaudojimas'!$L$4:$L$163,$D166))</x:f>
      </x:c>
    </x:row>
    <x:row r="167">
      <x:c r="A167" s="4"/>
      <x:c r="B167" s="3"/>
      <x:c r="C167" s="5"/>
      <x:c r="D167" s="16"/>
      <x:c r="E167" s="3"/>
      <x:c r="F167" s="3"/>
      <x:c r="G167" s="4"/>
      <x:c r="H167" s="3"/>
      <x:c r="I167" s="6" t="str">
        <x:f>IF($D167="","",SUMIFS('5 Žaliavų perdavimai'!$E$4:$E$203,'5 Žaliavų perdavimai'!$D$4:$D$203,$D167))</x:f>
      </x:c>
      <x:c r="J167" s="6" t="str">
        <x:f>IF($D167="","",$C167-$I167-SUMIFS('3 Sunaudojimas'!$H$4:$H$163,'3 Sunaudojimas'!$F$4:$F$163,$D167)-SUMIFS('3 Sunaudojimas'!$K$4:$K$163,'3 Sunaudojimas'!$I$4:$I$163,$D167)-SUMIFS('3 Sunaudojimas'!$N$4:$N$163,'3 Sunaudojimas'!$L$4:$L$163,$D167))</x:f>
      </x:c>
    </x:row>
    <x:row r="168">
      <x:c r="A168" s="4"/>
      <x:c r="B168" s="3"/>
      <x:c r="C168" s="5"/>
      <x:c r="D168" s="16"/>
      <x:c r="E168" s="3"/>
      <x:c r="F168" s="3"/>
      <x:c r="G168" s="4"/>
      <x:c r="H168" s="3"/>
      <x:c r="I168" s="6" t="str">
        <x:f>IF($D168="","",SUMIFS('5 Žaliavų perdavimai'!$E$4:$E$203,'5 Žaliavų perdavimai'!$D$4:$D$203,$D168))</x:f>
      </x:c>
      <x:c r="J168" s="6" t="str">
        <x:f>IF($D168="","",$C168-$I168-SUMIFS('3 Sunaudojimas'!$H$4:$H$163,'3 Sunaudojimas'!$F$4:$F$163,$D168)-SUMIFS('3 Sunaudojimas'!$K$4:$K$163,'3 Sunaudojimas'!$I$4:$I$163,$D168)-SUMIFS('3 Sunaudojimas'!$N$4:$N$163,'3 Sunaudojimas'!$L$4:$L$163,$D168))</x:f>
      </x:c>
    </x:row>
    <x:row r="169">
      <x:c r="A169" s="4"/>
      <x:c r="B169" s="3"/>
      <x:c r="C169" s="5"/>
      <x:c r="D169" s="16"/>
      <x:c r="E169" s="3"/>
      <x:c r="F169" s="3"/>
      <x:c r="G169" s="4"/>
      <x:c r="H169" s="3"/>
      <x:c r="I169" s="6" t="str">
        <x:f>IF($D169="","",SUMIFS('5 Žaliavų perdavimai'!$E$4:$E$203,'5 Žaliavų perdavimai'!$D$4:$D$203,$D169))</x:f>
      </x:c>
      <x:c r="J169" s="6" t="str">
        <x:f>IF($D169="","",$C169-$I169-SUMIFS('3 Sunaudojimas'!$H$4:$H$163,'3 Sunaudojimas'!$F$4:$F$163,$D169)-SUMIFS('3 Sunaudojimas'!$K$4:$K$163,'3 Sunaudojimas'!$I$4:$I$163,$D169)-SUMIFS('3 Sunaudojimas'!$N$4:$N$163,'3 Sunaudojimas'!$L$4:$L$163,$D169))</x:f>
      </x:c>
    </x:row>
    <x:row r="170">
      <x:c r="A170" s="4"/>
      <x:c r="B170" s="3"/>
      <x:c r="C170" s="5"/>
      <x:c r="D170" s="16"/>
      <x:c r="E170" s="3"/>
      <x:c r="F170" s="3"/>
      <x:c r="G170" s="4"/>
      <x:c r="H170" s="3"/>
      <x:c r="I170" s="6" t="str">
        <x:f>IF($D170="","",SUMIFS('5 Žaliavų perdavimai'!$E$4:$E$203,'5 Žaliavų perdavimai'!$D$4:$D$203,$D170))</x:f>
      </x:c>
      <x:c r="J170" s="6" t="str">
        <x:f>IF($D170="","",$C170-$I170-SUMIFS('3 Sunaudojimas'!$H$4:$H$163,'3 Sunaudojimas'!$F$4:$F$163,$D170)-SUMIFS('3 Sunaudojimas'!$K$4:$K$163,'3 Sunaudojimas'!$I$4:$I$163,$D170)-SUMIFS('3 Sunaudojimas'!$N$4:$N$163,'3 Sunaudojimas'!$L$4:$L$163,$D170))</x:f>
      </x:c>
    </x:row>
    <x:row r="171">
      <x:c r="A171" s="4"/>
      <x:c r="B171" s="3"/>
      <x:c r="C171" s="5"/>
      <x:c r="D171" s="16"/>
      <x:c r="E171" s="3"/>
      <x:c r="F171" s="3"/>
      <x:c r="G171" s="4"/>
      <x:c r="H171" s="3"/>
      <x:c r="I171" s="6" t="str">
        <x:f>IF($D171="","",SUMIFS('5 Žaliavų perdavimai'!$E$4:$E$203,'5 Žaliavų perdavimai'!$D$4:$D$203,$D171))</x:f>
      </x:c>
      <x:c r="J171" s="6" t="str">
        <x:f>IF($D171="","",$C171-$I171-SUMIFS('3 Sunaudojimas'!$H$4:$H$163,'3 Sunaudojimas'!$F$4:$F$163,$D171)-SUMIFS('3 Sunaudojimas'!$K$4:$K$163,'3 Sunaudojimas'!$I$4:$I$163,$D171)-SUMIFS('3 Sunaudojimas'!$N$4:$N$163,'3 Sunaudojimas'!$L$4:$L$163,$D171))</x:f>
      </x:c>
    </x:row>
    <x:row r="172">
      <x:c r="A172" s="4"/>
      <x:c r="B172" s="3"/>
      <x:c r="C172" s="5"/>
      <x:c r="D172" s="16"/>
      <x:c r="E172" s="3"/>
      <x:c r="F172" s="3"/>
      <x:c r="G172" s="4"/>
      <x:c r="H172" s="3"/>
      <x:c r="I172" s="6" t="str">
        <x:f>IF($D172="","",SUMIFS('5 Žaliavų perdavimai'!$E$4:$E$203,'5 Žaliavų perdavimai'!$D$4:$D$203,$D172))</x:f>
      </x:c>
      <x:c r="J172" s="6" t="str">
        <x:f>IF($D172="","",$C172-$I172-SUMIFS('3 Sunaudojimas'!$H$4:$H$163,'3 Sunaudojimas'!$F$4:$F$163,$D172)-SUMIFS('3 Sunaudojimas'!$K$4:$K$163,'3 Sunaudojimas'!$I$4:$I$163,$D172)-SUMIFS('3 Sunaudojimas'!$N$4:$N$163,'3 Sunaudojimas'!$L$4:$L$163,$D172))</x:f>
      </x:c>
    </x:row>
    <x:row r="173">
      <x:c r="A173" s="4"/>
      <x:c r="B173" s="3"/>
      <x:c r="C173" s="5"/>
      <x:c r="D173" s="16"/>
      <x:c r="E173" s="3"/>
      <x:c r="F173" s="3"/>
      <x:c r="G173" s="4"/>
      <x:c r="H173" s="3"/>
      <x:c r="I173" s="6" t="str">
        <x:f>IF($D173="","",SUMIFS('5 Žaliavų perdavimai'!$E$4:$E$203,'5 Žaliavų perdavimai'!$D$4:$D$203,$D173))</x:f>
      </x:c>
      <x:c r="J173" s="6" t="str">
        <x:f>IF($D173="","",$C173-$I173-SUMIFS('3 Sunaudojimas'!$H$4:$H$163,'3 Sunaudojimas'!$F$4:$F$163,$D173)-SUMIFS('3 Sunaudojimas'!$K$4:$K$163,'3 Sunaudojimas'!$I$4:$I$163,$D173)-SUMIFS('3 Sunaudojimas'!$N$4:$N$163,'3 Sunaudojimas'!$L$4:$L$163,$D173))</x:f>
      </x:c>
    </x:row>
    <x:row r="174">
      <x:c r="A174" s="4"/>
      <x:c r="B174" s="3"/>
      <x:c r="C174" s="5"/>
      <x:c r="D174" s="16"/>
      <x:c r="E174" s="3"/>
      <x:c r="F174" s="3"/>
      <x:c r="G174" s="4"/>
      <x:c r="H174" s="3"/>
      <x:c r="I174" s="6" t="str">
        <x:f>IF($D174="","",SUMIFS('5 Žaliavų perdavimai'!$E$4:$E$203,'5 Žaliavų perdavimai'!$D$4:$D$203,$D174))</x:f>
      </x:c>
      <x:c r="J174" s="6" t="str">
        <x:f>IF($D174="","",$C174-$I174-SUMIFS('3 Sunaudojimas'!$H$4:$H$163,'3 Sunaudojimas'!$F$4:$F$163,$D174)-SUMIFS('3 Sunaudojimas'!$K$4:$K$163,'3 Sunaudojimas'!$I$4:$I$163,$D174)-SUMIFS('3 Sunaudojimas'!$N$4:$N$163,'3 Sunaudojimas'!$L$4:$L$163,$D174))</x:f>
      </x:c>
    </x:row>
    <x:row r="175">
      <x:c r="A175" s="4"/>
      <x:c r="B175" s="3"/>
      <x:c r="C175" s="5"/>
      <x:c r="D175" s="16"/>
      <x:c r="E175" s="3"/>
      <x:c r="F175" s="3"/>
      <x:c r="G175" s="4"/>
      <x:c r="H175" s="3"/>
      <x:c r="I175" s="6" t="str">
        <x:f>IF($D175="","",SUMIFS('5 Žaliavų perdavimai'!$E$4:$E$203,'5 Žaliavų perdavimai'!$D$4:$D$203,$D175))</x:f>
      </x:c>
      <x:c r="J175" s="6" t="str">
        <x:f>IF($D175="","",$C175-$I175-SUMIFS('3 Sunaudojimas'!$H$4:$H$163,'3 Sunaudojimas'!$F$4:$F$163,$D175)-SUMIFS('3 Sunaudojimas'!$K$4:$K$163,'3 Sunaudojimas'!$I$4:$I$163,$D175)-SUMIFS('3 Sunaudojimas'!$N$4:$N$163,'3 Sunaudojimas'!$L$4:$L$163,$D175))</x:f>
      </x:c>
    </x:row>
    <x:row r="176">
      <x:c r="A176" s="4"/>
      <x:c r="B176" s="3"/>
      <x:c r="C176" s="5"/>
      <x:c r="D176" s="16"/>
      <x:c r="E176" s="3"/>
      <x:c r="F176" s="3"/>
      <x:c r="G176" s="4"/>
      <x:c r="H176" s="3"/>
      <x:c r="I176" s="6" t="str">
        <x:f>IF($D176="","",SUMIFS('5 Žaliavų perdavimai'!$E$4:$E$203,'5 Žaliavų perdavimai'!$D$4:$D$203,$D176))</x:f>
      </x:c>
      <x:c r="J176" s="6" t="str">
        <x:f>IF($D176="","",$C176-$I176-SUMIFS('3 Sunaudojimas'!$H$4:$H$163,'3 Sunaudojimas'!$F$4:$F$163,$D176)-SUMIFS('3 Sunaudojimas'!$K$4:$K$163,'3 Sunaudojimas'!$I$4:$I$163,$D176)-SUMIFS('3 Sunaudojimas'!$N$4:$N$163,'3 Sunaudojimas'!$L$4:$L$163,$D176))</x:f>
      </x:c>
    </x:row>
    <x:row r="177">
      <x:c r="A177" s="4"/>
      <x:c r="B177" s="3"/>
      <x:c r="C177" s="5"/>
      <x:c r="D177" s="16"/>
      <x:c r="E177" s="3"/>
      <x:c r="F177" s="3"/>
      <x:c r="G177" s="4"/>
      <x:c r="H177" s="3"/>
      <x:c r="I177" s="6" t="str">
        <x:f>IF($D177="","",SUMIFS('5 Žaliavų perdavimai'!$E$4:$E$203,'5 Žaliavų perdavimai'!$D$4:$D$203,$D177))</x:f>
      </x:c>
      <x:c r="J177" s="6" t="str">
        <x:f>IF($D177="","",$C177-$I177-SUMIFS('3 Sunaudojimas'!$H$4:$H$163,'3 Sunaudojimas'!$F$4:$F$163,$D177)-SUMIFS('3 Sunaudojimas'!$K$4:$K$163,'3 Sunaudojimas'!$I$4:$I$163,$D177)-SUMIFS('3 Sunaudojimas'!$N$4:$N$163,'3 Sunaudojimas'!$L$4:$L$163,$D177))</x:f>
      </x:c>
    </x:row>
    <x:row r="178">
      <x:c r="A178" s="4"/>
      <x:c r="B178" s="3"/>
      <x:c r="C178" s="5"/>
      <x:c r="D178" s="16"/>
      <x:c r="E178" s="3"/>
      <x:c r="F178" s="3"/>
      <x:c r="G178" s="4"/>
      <x:c r="H178" s="3"/>
      <x:c r="I178" s="6" t="str">
        <x:f>IF($D178="","",SUMIFS('5 Žaliavų perdavimai'!$E$4:$E$203,'5 Žaliavų perdavimai'!$D$4:$D$203,$D178))</x:f>
      </x:c>
      <x:c r="J178" s="6" t="str">
        <x:f>IF($D178="","",$C178-$I178-SUMIFS('3 Sunaudojimas'!$H$4:$H$163,'3 Sunaudojimas'!$F$4:$F$163,$D178)-SUMIFS('3 Sunaudojimas'!$K$4:$K$163,'3 Sunaudojimas'!$I$4:$I$163,$D178)-SUMIFS('3 Sunaudojimas'!$N$4:$N$163,'3 Sunaudojimas'!$L$4:$L$163,$D178))</x:f>
      </x:c>
    </x:row>
    <x:row r="179">
      <x:c r="A179" s="4"/>
      <x:c r="B179" s="3"/>
      <x:c r="C179" s="5"/>
      <x:c r="D179" s="16"/>
      <x:c r="E179" s="3"/>
      <x:c r="F179" s="3"/>
      <x:c r="G179" s="4"/>
      <x:c r="H179" s="3"/>
      <x:c r="I179" s="6" t="str">
        <x:f>IF($D179="","",SUMIFS('5 Žaliavų perdavimai'!$E$4:$E$203,'5 Žaliavų perdavimai'!$D$4:$D$203,$D179))</x:f>
      </x:c>
      <x:c r="J179" s="6" t="str">
        <x:f>IF($D179="","",$C179-$I179-SUMIFS('3 Sunaudojimas'!$H$4:$H$163,'3 Sunaudojimas'!$F$4:$F$163,$D179)-SUMIFS('3 Sunaudojimas'!$K$4:$K$163,'3 Sunaudojimas'!$I$4:$I$163,$D179)-SUMIFS('3 Sunaudojimas'!$N$4:$N$163,'3 Sunaudojimas'!$L$4:$L$163,$D179))</x:f>
      </x:c>
    </x:row>
    <x:row r="180">
      <x:c r="A180" s="4"/>
      <x:c r="B180" s="3"/>
      <x:c r="C180" s="5"/>
      <x:c r="D180" s="16"/>
      <x:c r="E180" s="3"/>
      <x:c r="F180" s="3"/>
      <x:c r="G180" s="4"/>
      <x:c r="H180" s="3"/>
      <x:c r="I180" s="6" t="str">
        <x:f>IF($D180="","",SUMIFS('5 Žaliavų perdavimai'!$E$4:$E$203,'5 Žaliavų perdavimai'!$D$4:$D$203,$D180))</x:f>
      </x:c>
      <x:c r="J180" s="6" t="str">
        <x:f>IF($D180="","",$C180-$I180-SUMIFS('3 Sunaudojimas'!$H$4:$H$163,'3 Sunaudojimas'!$F$4:$F$163,$D180)-SUMIFS('3 Sunaudojimas'!$K$4:$K$163,'3 Sunaudojimas'!$I$4:$I$163,$D180)-SUMIFS('3 Sunaudojimas'!$N$4:$N$163,'3 Sunaudojimas'!$L$4:$L$163,$D180))</x:f>
      </x:c>
    </x:row>
    <x:row r="181">
      <x:c r="A181" s="4"/>
      <x:c r="B181" s="3"/>
      <x:c r="C181" s="5"/>
      <x:c r="D181" s="16"/>
      <x:c r="E181" s="3"/>
      <x:c r="F181" s="3"/>
      <x:c r="G181" s="4"/>
      <x:c r="H181" s="3"/>
      <x:c r="I181" s="6" t="str">
        <x:f>IF($D181="","",SUMIFS('5 Žaliavų perdavimai'!$E$4:$E$203,'5 Žaliavų perdavimai'!$D$4:$D$203,$D181))</x:f>
      </x:c>
      <x:c r="J181" s="6" t="str">
        <x:f>IF($D181="","",$C181-$I181-SUMIFS('3 Sunaudojimas'!$H$4:$H$163,'3 Sunaudojimas'!$F$4:$F$163,$D181)-SUMIFS('3 Sunaudojimas'!$K$4:$K$163,'3 Sunaudojimas'!$I$4:$I$163,$D181)-SUMIFS('3 Sunaudojimas'!$N$4:$N$163,'3 Sunaudojimas'!$L$4:$L$163,$D181))</x:f>
      </x:c>
    </x:row>
    <x:row r="182">
      <x:c r="A182" s="4"/>
      <x:c r="B182" s="3"/>
      <x:c r="C182" s="5"/>
      <x:c r="D182" s="16"/>
      <x:c r="E182" s="3"/>
      <x:c r="F182" s="3"/>
      <x:c r="G182" s="4"/>
      <x:c r="H182" s="3"/>
      <x:c r="I182" s="6" t="str">
        <x:f>IF($D182="","",SUMIFS('5 Žaliavų perdavimai'!$E$4:$E$203,'5 Žaliavų perdavimai'!$D$4:$D$203,$D182))</x:f>
      </x:c>
      <x:c r="J182" s="6" t="str">
        <x:f>IF($D182="","",$C182-$I182-SUMIFS('3 Sunaudojimas'!$H$4:$H$163,'3 Sunaudojimas'!$F$4:$F$163,$D182)-SUMIFS('3 Sunaudojimas'!$K$4:$K$163,'3 Sunaudojimas'!$I$4:$I$163,$D182)-SUMIFS('3 Sunaudojimas'!$N$4:$N$163,'3 Sunaudojimas'!$L$4:$L$163,$D182))</x:f>
      </x:c>
    </x:row>
    <x:row r="183">
      <x:c r="A183" s="4"/>
      <x:c r="B183" s="3"/>
      <x:c r="C183" s="5"/>
      <x:c r="D183" s="16"/>
      <x:c r="E183" s="3"/>
      <x:c r="F183" s="3"/>
      <x:c r="G183" s="4"/>
      <x:c r="H183" s="3"/>
      <x:c r="I183" s="6" t="str">
        <x:f>IF($D183="","",SUMIFS('5 Žaliavų perdavimai'!$E$4:$E$203,'5 Žaliavų perdavimai'!$D$4:$D$203,$D183))</x:f>
      </x:c>
      <x:c r="J183" s="6" t="str">
        <x:f>IF($D183="","",$C183-$I183-SUMIFS('3 Sunaudojimas'!$H$4:$H$163,'3 Sunaudojimas'!$F$4:$F$163,$D183)-SUMIFS('3 Sunaudojimas'!$K$4:$K$163,'3 Sunaudojimas'!$I$4:$I$163,$D183)-SUMIFS('3 Sunaudojimas'!$N$4:$N$163,'3 Sunaudojimas'!$L$4:$L$163,$D183))</x:f>
      </x:c>
    </x:row>
    <x:row r="184">
      <x:c r="A184" s="4"/>
      <x:c r="B184" s="3"/>
      <x:c r="C184" s="5"/>
      <x:c r="D184" s="16"/>
      <x:c r="E184" s="3"/>
      <x:c r="F184" s="3"/>
      <x:c r="G184" s="4"/>
      <x:c r="H184" s="3"/>
      <x:c r="I184" s="6" t="str">
        <x:f>IF($D184="","",SUMIFS('5 Žaliavų perdavimai'!$E$4:$E$203,'5 Žaliavų perdavimai'!$D$4:$D$203,$D184))</x:f>
      </x:c>
      <x:c r="J184" s="6" t="str">
        <x:f>IF($D184="","",$C184-$I184-SUMIFS('3 Sunaudojimas'!$H$4:$H$163,'3 Sunaudojimas'!$F$4:$F$163,$D184)-SUMIFS('3 Sunaudojimas'!$K$4:$K$163,'3 Sunaudojimas'!$I$4:$I$163,$D184)-SUMIFS('3 Sunaudojimas'!$N$4:$N$163,'3 Sunaudojimas'!$L$4:$L$163,$D184))</x:f>
      </x:c>
    </x:row>
    <x:row r="185">
      <x:c r="A185" s="4"/>
      <x:c r="B185" s="3"/>
      <x:c r="C185" s="5"/>
      <x:c r="D185" s="16"/>
      <x:c r="E185" s="3"/>
      <x:c r="F185" s="3"/>
      <x:c r="G185" s="4"/>
      <x:c r="H185" s="3"/>
      <x:c r="I185" s="6" t="str">
        <x:f>IF($D185="","",SUMIFS('5 Žaliavų perdavimai'!$E$4:$E$203,'5 Žaliavų perdavimai'!$D$4:$D$203,$D185))</x:f>
      </x:c>
      <x:c r="J185" s="6" t="str">
        <x:f>IF($D185="","",$C185-$I185-SUMIFS('3 Sunaudojimas'!$H$4:$H$163,'3 Sunaudojimas'!$F$4:$F$163,$D185)-SUMIFS('3 Sunaudojimas'!$K$4:$K$163,'3 Sunaudojimas'!$I$4:$I$163,$D185)-SUMIFS('3 Sunaudojimas'!$N$4:$N$163,'3 Sunaudojimas'!$L$4:$L$163,$D185))</x:f>
      </x:c>
    </x:row>
    <x:row r="186">
      <x:c r="A186" s="4"/>
      <x:c r="B186" s="3"/>
      <x:c r="C186" s="5"/>
      <x:c r="D186" s="16"/>
      <x:c r="E186" s="3"/>
      <x:c r="F186" s="3"/>
      <x:c r="G186" s="4"/>
      <x:c r="H186" s="3"/>
      <x:c r="I186" s="6" t="str">
        <x:f>IF($D186="","",SUMIFS('5 Žaliavų perdavimai'!$E$4:$E$203,'5 Žaliavų perdavimai'!$D$4:$D$203,$D186))</x:f>
      </x:c>
      <x:c r="J186" s="6" t="str">
        <x:f>IF($D186="","",$C186-$I186-SUMIFS('3 Sunaudojimas'!$H$4:$H$163,'3 Sunaudojimas'!$F$4:$F$163,$D186)-SUMIFS('3 Sunaudojimas'!$K$4:$K$163,'3 Sunaudojimas'!$I$4:$I$163,$D186)-SUMIFS('3 Sunaudojimas'!$N$4:$N$163,'3 Sunaudojimas'!$L$4:$L$163,$D186))</x:f>
      </x:c>
    </x:row>
    <x:row r="187">
      <x:c r="A187" s="4"/>
      <x:c r="B187" s="3"/>
      <x:c r="C187" s="5"/>
      <x:c r="D187" s="16"/>
      <x:c r="E187" s="3"/>
      <x:c r="F187" s="3"/>
      <x:c r="G187" s="4"/>
      <x:c r="H187" s="3"/>
      <x:c r="I187" s="6" t="str">
        <x:f>IF($D187="","",SUMIFS('5 Žaliavų perdavimai'!$E$4:$E$203,'5 Žaliavų perdavimai'!$D$4:$D$203,$D187))</x:f>
      </x:c>
      <x:c r="J187" s="6" t="str">
        <x:f>IF($D187="","",$C187-$I187-SUMIFS('3 Sunaudojimas'!$H$4:$H$163,'3 Sunaudojimas'!$F$4:$F$163,$D187)-SUMIFS('3 Sunaudojimas'!$K$4:$K$163,'3 Sunaudojimas'!$I$4:$I$163,$D187)-SUMIFS('3 Sunaudojimas'!$N$4:$N$163,'3 Sunaudojimas'!$L$4:$L$163,$D187))</x:f>
      </x:c>
    </x:row>
    <x:row r="188">
      <x:c r="A188" s="4"/>
      <x:c r="B188" s="3"/>
      <x:c r="C188" s="5"/>
      <x:c r="D188" s="16"/>
      <x:c r="E188" s="3"/>
      <x:c r="F188" s="3"/>
      <x:c r="G188" s="4"/>
      <x:c r="H188" s="3"/>
      <x:c r="I188" s="6" t="str">
        <x:f>IF($D188="","",SUMIFS('5 Žaliavų perdavimai'!$E$4:$E$203,'5 Žaliavų perdavimai'!$D$4:$D$203,$D188))</x:f>
      </x:c>
      <x:c r="J188" s="6" t="str">
        <x:f>IF($D188="","",$C188-$I188-SUMIFS('3 Sunaudojimas'!$H$4:$H$163,'3 Sunaudojimas'!$F$4:$F$163,$D188)-SUMIFS('3 Sunaudojimas'!$K$4:$K$163,'3 Sunaudojimas'!$I$4:$I$163,$D188)-SUMIFS('3 Sunaudojimas'!$N$4:$N$163,'3 Sunaudojimas'!$L$4:$L$163,$D188))</x:f>
      </x:c>
    </x:row>
    <x:row r="189">
      <x:c r="A189" s="4"/>
      <x:c r="B189" s="3"/>
      <x:c r="C189" s="5"/>
      <x:c r="D189" s="16"/>
      <x:c r="E189" s="3"/>
      <x:c r="F189" s="3"/>
      <x:c r="G189" s="4"/>
      <x:c r="H189" s="3"/>
      <x:c r="I189" s="6" t="str">
        <x:f>IF($D189="","",SUMIFS('5 Žaliavų perdavimai'!$E$4:$E$203,'5 Žaliavų perdavimai'!$D$4:$D$203,$D189))</x:f>
      </x:c>
      <x:c r="J189" s="6" t="str">
        <x:f>IF($D189="","",$C189-$I189-SUMIFS('3 Sunaudojimas'!$H$4:$H$163,'3 Sunaudojimas'!$F$4:$F$163,$D189)-SUMIFS('3 Sunaudojimas'!$K$4:$K$163,'3 Sunaudojimas'!$I$4:$I$163,$D189)-SUMIFS('3 Sunaudojimas'!$N$4:$N$163,'3 Sunaudojimas'!$L$4:$L$163,$D189))</x:f>
      </x:c>
    </x:row>
    <x:row r="190">
      <x:c r="A190" s="4"/>
      <x:c r="B190" s="3"/>
      <x:c r="C190" s="5"/>
      <x:c r="D190" s="16"/>
      <x:c r="E190" s="3"/>
      <x:c r="F190" s="3"/>
      <x:c r="G190" s="4"/>
      <x:c r="H190" s="3"/>
      <x:c r="I190" s="6" t="str">
        <x:f>IF($D190="","",SUMIFS('5 Žaliavų perdavimai'!$E$4:$E$203,'5 Žaliavų perdavimai'!$D$4:$D$203,$D190))</x:f>
      </x:c>
      <x:c r="J190" s="6" t="str">
        <x:f>IF($D190="","",$C190-$I190-SUMIFS('3 Sunaudojimas'!$H$4:$H$163,'3 Sunaudojimas'!$F$4:$F$163,$D190)-SUMIFS('3 Sunaudojimas'!$K$4:$K$163,'3 Sunaudojimas'!$I$4:$I$163,$D190)-SUMIFS('3 Sunaudojimas'!$N$4:$N$163,'3 Sunaudojimas'!$L$4:$L$163,$D190))</x:f>
      </x:c>
    </x:row>
    <x:row r="191">
      <x:c r="A191" s="4"/>
      <x:c r="B191" s="3"/>
      <x:c r="C191" s="5"/>
      <x:c r="D191" s="16"/>
      <x:c r="E191" s="3"/>
      <x:c r="F191" s="3"/>
      <x:c r="G191" s="4"/>
      <x:c r="H191" s="3"/>
      <x:c r="I191" s="6" t="str">
        <x:f>IF($D191="","",SUMIFS('5 Žaliavų perdavimai'!$E$4:$E$203,'5 Žaliavų perdavimai'!$D$4:$D$203,$D191))</x:f>
      </x:c>
      <x:c r="J191" s="6" t="str">
        <x:f>IF($D191="","",$C191-$I191-SUMIFS('3 Sunaudojimas'!$H$4:$H$163,'3 Sunaudojimas'!$F$4:$F$163,$D191)-SUMIFS('3 Sunaudojimas'!$K$4:$K$163,'3 Sunaudojimas'!$I$4:$I$163,$D191)-SUMIFS('3 Sunaudojimas'!$N$4:$N$163,'3 Sunaudojimas'!$L$4:$L$163,$D191))</x:f>
      </x:c>
    </x:row>
    <x:row r="192">
      <x:c r="A192" s="4"/>
      <x:c r="B192" s="3"/>
      <x:c r="C192" s="5"/>
      <x:c r="D192" s="16"/>
      <x:c r="E192" s="3"/>
      <x:c r="F192" s="3"/>
      <x:c r="G192" s="4"/>
      <x:c r="H192" s="3"/>
      <x:c r="I192" s="6" t="str">
        <x:f>IF($D192="","",SUMIFS('5 Žaliavų perdavimai'!$E$4:$E$203,'5 Žaliavų perdavimai'!$D$4:$D$203,$D192))</x:f>
      </x:c>
      <x:c r="J192" s="6" t="str">
        <x:f>IF($D192="","",$C192-$I192-SUMIFS('3 Sunaudojimas'!$H$4:$H$163,'3 Sunaudojimas'!$F$4:$F$163,$D192)-SUMIFS('3 Sunaudojimas'!$K$4:$K$163,'3 Sunaudojimas'!$I$4:$I$163,$D192)-SUMIFS('3 Sunaudojimas'!$N$4:$N$163,'3 Sunaudojimas'!$L$4:$L$163,$D192))</x:f>
      </x:c>
    </x:row>
    <x:row r="193">
      <x:c r="A193" s="4"/>
      <x:c r="B193" s="3"/>
      <x:c r="C193" s="5"/>
      <x:c r="D193" s="16"/>
      <x:c r="E193" s="3"/>
      <x:c r="F193" s="3"/>
      <x:c r="G193" s="4"/>
      <x:c r="H193" s="3"/>
      <x:c r="I193" s="6" t="str">
        <x:f>IF($D193="","",SUMIFS('5 Žaliavų perdavimai'!$E$4:$E$203,'5 Žaliavų perdavimai'!$D$4:$D$203,$D193))</x:f>
      </x:c>
      <x:c r="J193" s="6" t="str">
        <x:f>IF($D193="","",$C193-$I193-SUMIFS('3 Sunaudojimas'!$H$4:$H$163,'3 Sunaudojimas'!$F$4:$F$163,$D193)-SUMIFS('3 Sunaudojimas'!$K$4:$K$163,'3 Sunaudojimas'!$I$4:$I$163,$D193)-SUMIFS('3 Sunaudojimas'!$N$4:$N$163,'3 Sunaudojimas'!$L$4:$L$163,$D193))</x:f>
      </x:c>
    </x:row>
    <x:row r="194">
      <x:c r="A194" s="4"/>
      <x:c r="B194" s="3"/>
      <x:c r="C194" s="5"/>
      <x:c r="D194" s="16"/>
      <x:c r="E194" s="3"/>
      <x:c r="F194" s="3"/>
      <x:c r="G194" s="4"/>
      <x:c r="H194" s="3"/>
      <x:c r="I194" s="6" t="str">
        <x:f>IF($D194="","",SUMIFS('5 Žaliavų perdavimai'!$E$4:$E$203,'5 Žaliavų perdavimai'!$D$4:$D$203,$D194))</x:f>
      </x:c>
      <x:c r="J194" s="6" t="str">
        <x:f>IF($D194="","",$C194-$I194-SUMIFS('3 Sunaudojimas'!$H$4:$H$163,'3 Sunaudojimas'!$F$4:$F$163,$D194)-SUMIFS('3 Sunaudojimas'!$K$4:$K$163,'3 Sunaudojimas'!$I$4:$I$163,$D194)-SUMIFS('3 Sunaudojimas'!$N$4:$N$163,'3 Sunaudojimas'!$L$4:$L$163,$D194))</x:f>
      </x:c>
    </x:row>
    <x:row r="195">
      <x:c r="A195" s="4"/>
      <x:c r="B195" s="3"/>
      <x:c r="C195" s="5"/>
      <x:c r="D195" s="16"/>
      <x:c r="E195" s="3"/>
      <x:c r="F195" s="3"/>
      <x:c r="G195" s="4"/>
      <x:c r="H195" s="3"/>
      <x:c r="I195" s="6" t="str">
        <x:f>IF($D195="","",SUMIFS('5 Žaliavų perdavimai'!$E$4:$E$203,'5 Žaliavų perdavimai'!$D$4:$D$203,$D195))</x:f>
      </x:c>
      <x:c r="J195" s="6" t="str">
        <x:f>IF($D195="","",$C195-$I195-SUMIFS('3 Sunaudojimas'!$H$4:$H$163,'3 Sunaudojimas'!$F$4:$F$163,$D195)-SUMIFS('3 Sunaudojimas'!$K$4:$K$163,'3 Sunaudojimas'!$I$4:$I$163,$D195)-SUMIFS('3 Sunaudojimas'!$N$4:$N$163,'3 Sunaudojimas'!$L$4:$L$163,$D195))</x:f>
      </x:c>
    </x:row>
    <x:row r="196">
      <x:c r="A196" s="4"/>
      <x:c r="B196" s="3"/>
      <x:c r="C196" s="5"/>
      <x:c r="D196" s="16"/>
      <x:c r="E196" s="3"/>
      <x:c r="F196" s="3"/>
      <x:c r="G196" s="4"/>
      <x:c r="H196" s="3"/>
      <x:c r="I196" s="6" t="str">
        <x:f>IF($D196="","",SUMIFS('5 Žaliavų perdavimai'!$E$4:$E$203,'5 Žaliavų perdavimai'!$D$4:$D$203,$D196))</x:f>
      </x:c>
      <x:c r="J196" s="6" t="str">
        <x:f>IF($D196="","",$C196-$I196-SUMIFS('3 Sunaudojimas'!$H$4:$H$163,'3 Sunaudojimas'!$F$4:$F$163,$D196)-SUMIFS('3 Sunaudojimas'!$K$4:$K$163,'3 Sunaudojimas'!$I$4:$I$163,$D196)-SUMIFS('3 Sunaudojimas'!$N$4:$N$163,'3 Sunaudojimas'!$L$4:$L$163,$D196))</x:f>
      </x:c>
    </x:row>
    <x:row r="197">
      <x:c r="A197" s="4"/>
      <x:c r="B197" s="3"/>
      <x:c r="C197" s="5"/>
      <x:c r="D197" s="16"/>
      <x:c r="E197" s="3"/>
      <x:c r="F197" s="3"/>
      <x:c r="G197" s="4"/>
      <x:c r="H197" s="3"/>
      <x:c r="I197" s="6" t="str">
        <x:f>IF($D197="","",SUMIFS('5 Žaliavų perdavimai'!$E$4:$E$203,'5 Žaliavų perdavimai'!$D$4:$D$203,$D197))</x:f>
      </x:c>
      <x:c r="J197" s="6" t="str">
        <x:f>IF($D197="","",$C197-$I197-SUMIFS('3 Sunaudojimas'!$H$4:$H$163,'3 Sunaudojimas'!$F$4:$F$163,$D197)-SUMIFS('3 Sunaudojimas'!$K$4:$K$163,'3 Sunaudojimas'!$I$4:$I$163,$D197)-SUMIFS('3 Sunaudojimas'!$N$4:$N$163,'3 Sunaudojimas'!$L$4:$L$163,$D197))</x:f>
      </x:c>
    </x:row>
    <x:row r="198">
      <x:c r="A198" s="4"/>
      <x:c r="B198" s="3"/>
      <x:c r="C198" s="5"/>
      <x:c r="D198" s="16"/>
      <x:c r="E198" s="3"/>
      <x:c r="F198" s="3"/>
      <x:c r="G198" s="4"/>
      <x:c r="H198" s="3"/>
      <x:c r="I198" s="6" t="str">
        <x:f>IF($D198="","",SUMIFS('5 Žaliavų perdavimai'!$E$4:$E$203,'5 Žaliavų perdavimai'!$D$4:$D$203,$D198))</x:f>
      </x:c>
      <x:c r="J198" s="6" t="str">
        <x:f>IF($D198="","",$C198-$I198-SUMIFS('3 Sunaudojimas'!$H$4:$H$163,'3 Sunaudojimas'!$F$4:$F$163,$D198)-SUMIFS('3 Sunaudojimas'!$K$4:$K$163,'3 Sunaudojimas'!$I$4:$I$163,$D198)-SUMIFS('3 Sunaudojimas'!$N$4:$N$163,'3 Sunaudojimas'!$L$4:$L$163,$D198))</x:f>
      </x:c>
    </x:row>
    <x:row r="199">
      <x:c r="A199" s="4"/>
      <x:c r="B199" s="3"/>
      <x:c r="C199" s="5"/>
      <x:c r="D199" s="16"/>
      <x:c r="E199" s="3"/>
      <x:c r="F199" s="3"/>
      <x:c r="G199" s="4"/>
      <x:c r="H199" s="3"/>
      <x:c r="I199" s="6" t="str">
        <x:f>IF($D199="","",SUMIFS('5 Žaliavų perdavimai'!$E$4:$E$203,'5 Žaliavų perdavimai'!$D$4:$D$203,$D199))</x:f>
      </x:c>
      <x:c r="J199" s="6" t="str">
        <x:f>IF($D199="","",$C199-$I199-SUMIFS('3 Sunaudojimas'!$H$4:$H$163,'3 Sunaudojimas'!$F$4:$F$163,$D199)-SUMIFS('3 Sunaudojimas'!$K$4:$K$163,'3 Sunaudojimas'!$I$4:$I$163,$D199)-SUMIFS('3 Sunaudojimas'!$N$4:$N$163,'3 Sunaudojimas'!$L$4:$L$163,$D199))</x:f>
      </x:c>
    </x:row>
    <x:row r="200">
      <x:c r="A200" s="4"/>
      <x:c r="B200" s="3"/>
      <x:c r="C200" s="5"/>
      <x:c r="D200" s="16"/>
      <x:c r="E200" s="3"/>
      <x:c r="F200" s="3"/>
      <x:c r="G200" s="4"/>
      <x:c r="H200" s="3"/>
      <x:c r="I200" s="6" t="str">
        <x:f>IF($D200="","",SUMIFS('5 Žaliavų perdavimai'!$E$4:$E$203,'5 Žaliavų perdavimai'!$D$4:$D$203,$D200))</x:f>
      </x:c>
      <x:c r="J200" s="6" t="str">
        <x:f>IF($D200="","",$C200-$I200-SUMIFS('3 Sunaudojimas'!$H$4:$H$163,'3 Sunaudojimas'!$F$4:$F$163,$D200)-SUMIFS('3 Sunaudojimas'!$K$4:$K$163,'3 Sunaudojimas'!$I$4:$I$163,$D200)-SUMIFS('3 Sunaudojimas'!$N$4:$N$163,'3 Sunaudojimas'!$L$4:$L$163,$D200))</x:f>
      </x:c>
    </x:row>
    <x:row r="201">
      <x:c r="A201" s="4"/>
      <x:c r="B201" s="3"/>
      <x:c r="C201" s="5"/>
      <x:c r="D201" s="16"/>
      <x:c r="E201" s="3"/>
      <x:c r="F201" s="3"/>
      <x:c r="G201" s="4"/>
      <x:c r="H201" s="3"/>
      <x:c r="I201" s="6" t="str">
        <x:f>IF($D201="","",SUMIFS('5 Žaliavų perdavimai'!$E$4:$E$203,'5 Žaliavų perdavimai'!$D$4:$D$203,$D201))</x:f>
      </x:c>
      <x:c r="J201" s="6" t="str">
        <x:f>IF($D201="","",$C201-$I201-SUMIFS('3 Sunaudojimas'!$H$4:$H$163,'3 Sunaudojimas'!$F$4:$F$163,$D201)-SUMIFS('3 Sunaudojimas'!$K$4:$K$163,'3 Sunaudojimas'!$I$4:$I$163,$D201)-SUMIFS('3 Sunaudojimas'!$N$4:$N$163,'3 Sunaudojimas'!$L$4:$L$163,$D201))</x:f>
      </x:c>
    </x:row>
    <x:row r="202">
      <x:c r="A202" s="4"/>
      <x:c r="B202" s="3"/>
      <x:c r="C202" s="5"/>
      <x:c r="D202" s="16"/>
      <x:c r="E202" s="3"/>
      <x:c r="F202" s="3"/>
      <x:c r="G202" s="4"/>
      <x:c r="H202" s="3"/>
      <x:c r="I202" s="6" t="str">
        <x:f>IF($D202="","",SUMIFS('5 Žaliavų perdavimai'!$E$4:$E$203,'5 Žaliavų perdavimai'!$D$4:$D$203,$D202))</x:f>
      </x:c>
      <x:c r="J202" s="6" t="str">
        <x:f>IF($D202="","",$C202-$I202-SUMIFS('3 Sunaudojimas'!$H$4:$H$163,'3 Sunaudojimas'!$F$4:$F$163,$D202)-SUMIFS('3 Sunaudojimas'!$K$4:$K$163,'3 Sunaudojimas'!$I$4:$I$163,$D202)-SUMIFS('3 Sunaudojimas'!$N$4:$N$163,'3 Sunaudojimas'!$L$4:$L$163,$D202))</x:f>
      </x:c>
    </x:row>
    <x:row r="203">
      <x:c r="A203" s="4"/>
      <x:c r="B203" s="3"/>
      <x:c r="C203" s="5"/>
      <x:c r="D203" s="16"/>
      <x:c r="E203" s="3"/>
      <x:c r="F203" s="3"/>
      <x:c r="G203" s="4"/>
      <x:c r="H203" s="3"/>
      <x:c r="I203" s="6" t="str">
        <x:f>IF($D203="","",SUMIFS('5 Žaliavų perdavimai'!$E$4:$E$203,'5 Žaliavų perdavimai'!$D$4:$D$203,$D203))</x:f>
      </x:c>
      <x:c r="J203" s="6" t="str">
        <x:f>IF($D203="","",$C203-$I203-SUMIFS('3 Sunaudojimas'!$H$4:$H$163,'3 Sunaudojimas'!$F$4:$F$163,$D203)-SUMIFS('3 Sunaudojimas'!$K$4:$K$163,'3 Sunaudojimas'!$I$4:$I$163,$D203)-SUMIFS('3 Sunaudojimas'!$N$4:$N$163,'3 Sunaudojimas'!$L$4:$L$163,$D203))</x:f>
      </x:c>
    </x:row>
    <x:row r="204">
      <x:c r="A204" s="4"/>
      <x:c r="B204" s="3"/>
      <x:c r="C204" s="5"/>
      <x:c r="D204" s="16"/>
      <x:c r="E204" s="3"/>
      <x:c r="F204" s="3"/>
      <x:c r="G204" s="4"/>
      <x:c r="H204" s="3"/>
      <x:c r="I204" s="6" t="str">
        <x:f>IF($D204="","",SUMIFS('5 Žaliavų perdavimai'!$E$4:$E$203,'5 Žaliavų perdavimai'!$D$4:$D$203,$D204))</x:f>
      </x:c>
      <x:c r="J204" s="6" t="str">
        <x:f>IF($D204="","",$C204-$I204-SUMIFS('3 Sunaudojimas'!$H$4:$H$163,'3 Sunaudojimas'!$F$4:$F$163,$D204)-SUMIFS('3 Sunaudojimas'!$K$4:$K$163,'3 Sunaudojimas'!$I$4:$I$163,$D204)-SUMIFS('3 Sunaudojimas'!$N$4:$N$163,'3 Sunaudojimas'!$L$4:$L$163,$D204))</x:f>
      </x:c>
    </x:row>
    <x:row r="205">
      <x:c r="A205" s="4"/>
      <x:c r="B205" s="3"/>
      <x:c r="C205" s="5"/>
      <x:c r="D205" s="16"/>
      <x:c r="E205" s="3"/>
      <x:c r="F205" s="3"/>
      <x:c r="G205" s="4"/>
      <x:c r="H205" s="3"/>
      <x:c r="I205" s="6" t="str">
        <x:f>IF($D205="","",SUMIFS('5 Žaliavų perdavimai'!$E$4:$E$203,'5 Žaliavų perdavimai'!$D$4:$D$203,$D205))</x:f>
      </x:c>
      <x:c r="J205" s="6" t="str">
        <x:f>IF($D205="","",$C205-$I205-SUMIFS('3 Sunaudojimas'!$H$4:$H$163,'3 Sunaudojimas'!$F$4:$F$163,$D205)-SUMIFS('3 Sunaudojimas'!$K$4:$K$163,'3 Sunaudojimas'!$I$4:$I$163,$D205)-SUMIFS('3 Sunaudojimas'!$N$4:$N$163,'3 Sunaudojimas'!$L$4:$L$163,$D205))</x:f>
      </x:c>
    </x:row>
    <x:row r="206">
      <x:c r="A206" s="4"/>
      <x:c r="B206" s="3"/>
      <x:c r="C206" s="5"/>
      <x:c r="D206" s="16"/>
      <x:c r="E206" s="3"/>
      <x:c r="F206" s="3"/>
      <x:c r="G206" s="4"/>
      <x:c r="H206" s="3"/>
      <x:c r="I206" s="6" t="str">
        <x:f>IF($D206="","",SUMIFS('5 Žaliavų perdavimai'!$E$4:$E$203,'5 Žaliavų perdavimai'!$D$4:$D$203,$D206))</x:f>
      </x:c>
      <x:c r="J206" s="6" t="str">
        <x:f>IF($D206="","",$C206-$I206-SUMIFS('3 Sunaudojimas'!$H$4:$H$163,'3 Sunaudojimas'!$F$4:$F$163,$D206)-SUMIFS('3 Sunaudojimas'!$K$4:$K$163,'3 Sunaudojimas'!$I$4:$I$163,$D206)-SUMIFS('3 Sunaudojimas'!$N$4:$N$163,'3 Sunaudojimas'!$L$4:$L$163,$D206))</x:f>
      </x:c>
    </x:row>
  </x:sheetData>
  <x:mergeCells>
    <x:mergeCell ref="A1:J1"/>
    <x:mergeCell ref="A2:J2"/>
  </x:mergeCells>
  <x:conditionalFormatting sqref="A4:J206">
    <x:cfRule type="expression" dxfId="9" priority="1">
      <x:formula>AND($D4&lt;&gt;"",$J4&gt;0,$G4&lt;&gt;"",$G4&lt;TODAY())</x:formula>
    </x:cfRule>
    <x:cfRule type="expression" dxfId="8" priority="2">
      <x:formula>AND($D4&lt;&gt;"",$J4&gt;0,$G4&gt;=TODAY(),$G4&lt;=TODAY()+3)</x:formula>
    </x:cfRule>
    <x:cfRule type="expression" dxfId="7" priority="3">
      <x:formula>AND($D4&lt;&gt;"",$J4&gt;0,$G4&gt;TODAY()+3,$G4&lt;=TODAY()+7)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3" customWidth="1"/>
    <x:col min="2" max="2" width="24" customWidth="1"/>
    <x:col min="3" max="3" width="15" customWidth="1"/>
    <x:col min="4" max="4" width="18" customWidth="1"/>
    <x:col min="5" max="5" width="14" customWidth="1"/>
    <x:col min="6" max="6" width="22" customWidth="1"/>
    <x:col min="7" max="7" width="34" customWidth="1"/>
  </x:cols>
  <x:sheetData>
    <x:row r="1" ht="18">
      <x:c r="A1" s="17" t="s">
        <x:v>197</x:v>
      </x:c>
      <x:c r="B1" s="17"/>
      <x:c r="C1" s="17"/>
      <x:c r="D1" s="17"/>
      <x:c r="E1" s="17"/>
      <x:c r="F1" s="17"/>
      <x:c r="G1" s="17"/>
    </x:row>
    <x:row r="2" ht="14.5">
      <x:c r="A2" s="18" t="s">
        <x:v>198</x:v>
      </x:c>
      <x:c r="B2" s="18"/>
      <x:c r="C2" s="18"/>
      <x:c r="D2" s="18"/>
      <x:c r="E2" s="18"/>
      <x:c r="F2" s="18"/>
      <x:c r="G2" s="18"/>
    </x:row>
    <x:row r="3" ht="28">
      <x:c r="A3" s="1" t="s">
        <x:v>199</x:v>
      </x:c>
      <x:c r="B3" s="1" t="s">
        <x:v>200</x:v>
      </x:c>
      <x:c r="C3" s="1" t="s">
        <x:v>201</x:v>
      </x:c>
      <x:c r="D3" s="1" t="s">
        <x:v>202</x:v>
      </x:c>
      <x:c r="E3" s="1" t="s">
        <x:v>203</x:v>
      </x:c>
      <x:c r="F3" s="1" t="s">
        <x:v>204</x:v>
      </x:c>
      <x:c r="G3" s="1" t="s">
        <x:v>9</x:v>
      </x:c>
    </x:row>
    <x:row r="4">
      <x:c r="A4" s="4">
        <x:v>46204</x:v>
      </x:c>
      <x:c r="B4" s="3" t="s">
        <x:v>205</x:v>
      </x:c>
      <x:c r="C4" s="5">
        <x:v>267.52</x:v>
      </x:c>
      <x:c r="D4" s="3" t="s">
        <x:v>206</x:v>
      </x:c>
      <x:c r="E4" s="3"/>
      <x:c r="F4" s="3"/>
      <x:c r="G4" s="3"/>
    </x:row>
    <x:row r="5">
      <x:c r="A5" s="4">
        <x:v>46204</x:v>
      </x:c>
      <x:c r="B5" s="3" t="s">
        <x:v>207</x:v>
      </x:c>
      <x:c r="C5" s="5">
        <x:v>137.19999999999999</x:v>
      </x:c>
      <x:c r="D5" s="3" t="s">
        <x:v>206</x:v>
      </x:c>
      <x:c r="E5" s="3"/>
      <x:c r="F5" s="3"/>
      <x:c r="G5" s="3"/>
    </x:row>
    <x:row r="6">
      <x:c r="A6" s="4">
        <x:v>46205</x:v>
      </x:c>
      <x:c r="B6" s="3" t="s">
        <x:v>205</x:v>
      </x:c>
      <x:c r="C6" s="5">
        <x:v>280.27999999999997</x:v>
      </x:c>
      <x:c r="D6" s="3" t="s">
        <x:v>206</x:v>
      </x:c>
      <x:c r="E6" s="3"/>
      <x:c r="F6" s="3"/>
      <x:c r="G6" s="3"/>
    </x:row>
    <x:row r="7">
      <x:c r="A7" s="4">
        <x:v>46205</x:v>
      </x:c>
      <x:c r="B7" s="3" t="s">
        <x:v>207</x:v>
      </x:c>
      <x:c r="C7" s="5">
        <x:v>142.1</x:v>
      </x:c>
      <x:c r="D7" s="3" t="s">
        <x:v>206</x:v>
      </x:c>
      <x:c r="E7" s="3"/>
      <x:c r="F7" s="3"/>
      <x:c r="G7" s="3"/>
    </x:row>
    <x:row r="8">
      <x:c r="A8" s="4">
        <x:v>46206</x:v>
      </x:c>
      <x:c r="B8" s="3" t="s">
        <x:v>205</x:v>
      </x:c>
      <x:c r="C8" s="5">
        <x:v>213.64</x:v>
      </x:c>
      <x:c r="D8" s="3" t="s">
        <x:v>206</x:v>
      </x:c>
      <x:c r="E8" s="3"/>
      <x:c r="F8" s="3"/>
      <x:c r="G8" s="3"/>
    </x:row>
    <x:row r="9">
      <x:c r="A9" s="4">
        <x:v>46206</x:v>
      </x:c>
      <x:c r="B9" s="3" t="s">
        <x:v>207</x:v>
      </x:c>
      <x:c r="C9" s="5">
        <x:v>161.69999999999999</x:v>
      </x:c>
      <x:c r="D9" s="3" t="s">
        <x:v>206</x:v>
      </x:c>
      <x:c r="E9" s="3"/>
      <x:c r="F9" s="3"/>
      <x:c r="G9" s="3"/>
    </x:row>
    <x:row r="10">
      <x:c r="A10" s="4">
        <x:v>46210</x:v>
      </x:c>
      <x:c r="B10" s="3" t="s">
        <x:v>205</x:v>
      </x:c>
      <x:c r="C10" s="5">
        <x:v>181.3</x:v>
      </x:c>
      <x:c r="D10" s="3" t="s">
        <x:v>208</x:v>
      </x:c>
      <x:c r="E10" s="3"/>
      <x:c r="F10" s="3"/>
      <x:c r="G10" s="3"/>
    </x:row>
    <x:row r="11">
      <x:c r="A11" s="4">
        <x:v>46210</x:v>
      </x:c>
      <x:c r="B11" s="3" t="s">
        <x:v>207</x:v>
      </x:c>
      <x:c r="C11" s="5">
        <x:v>78.400000000000006</x:v>
      </x:c>
      <x:c r="D11" s="3" t="s">
        <x:v>208</x:v>
      </x:c>
      <x:c r="E11" s="3"/>
      <x:c r="F11" s="3"/>
      <x:c r="G11" s="3"/>
    </x:row>
    <x:row r="12">
      <x:c r="A12" s="4">
        <x:v>46211</x:v>
      </x:c>
      <x:c r="B12" s="3" t="s">
        <x:v>209</x:v>
      </x:c>
      <x:c r="C12" s="5">
        <x:v>178.36</x:v>
      </x:c>
      <x:c r="D12" s="3" t="s">
        <x:v>208</x:v>
      </x:c>
      <x:c r="E12" s="3"/>
      <x:c r="F12" s="3"/>
      <x:c r="G12" s="3"/>
    </x:row>
    <x:row r="13">
      <x:c r="A13" s="4">
        <x:v>46211</x:v>
      </x:c>
      <x:c r="B13" s="3" t="s">
        <x:v>207</x:v>
      </x:c>
      <x:c r="C13" s="5">
        <x:v>78.400000000000006</x:v>
      </x:c>
      <x:c r="D13" s="3" t="s">
        <x:v>208</x:v>
      </x:c>
      <x:c r="E13" s="3"/>
      <x:c r="F13" s="3"/>
      <x:c r="G13" s="3"/>
    </x:row>
    <x:row r="14">
      <x:c r="A14" s="4">
        <x:v>46212</x:v>
      </x:c>
      <x:c r="B14" s="3" t="s">
        <x:v>205</x:v>
      </x:c>
      <x:c r="C14" s="5">
        <x:v>176.4</x:v>
      </x:c>
      <x:c r="D14" s="3" t="s">
        <x:v>208</x:v>
      </x:c>
      <x:c r="E14" s="3"/>
      <x:c r="F14" s="3"/>
      <x:c r="G14" s="3"/>
    </x:row>
    <x:row r="15">
      <x:c r="A15" s="4">
        <x:v>46212</x:v>
      </x:c>
      <x:c r="B15" s="3" t="s">
        <x:v>207</x:v>
      </x:c>
      <x:c r="C15" s="5">
        <x:v>156.80000000000001</x:v>
      </x:c>
      <x:c r="D15" s="3" t="s">
        <x:v>208</x:v>
      </x:c>
      <x:c r="E15" s="3"/>
      <x:c r="F15" s="3"/>
      <x:c r="G15" s="3"/>
    </x:row>
    <x:row r="16">
      <x:c r="A16" s="4">
        <x:v>46213</x:v>
      </x:c>
      <x:c r="B16" s="3" t="s">
        <x:v>205</x:v>
      </x:c>
      <x:c r="C16" s="5">
        <x:v>98</x:v>
      </x:c>
      <x:c r="D16" s="3" t="s">
        <x:v>208</x:v>
      </x:c>
      <x:c r="E16" s="3"/>
      <x:c r="F16" s="3"/>
      <x:c r="G16" s="3"/>
    </x:row>
    <x:row r="17">
      <x:c r="A17" s="4">
        <x:v>46213</x:v>
      </x:c>
      <x:c r="B17" s="3" t="s">
        <x:v>207</x:v>
      </x:c>
      <x:c r="C17" s="5">
        <x:v>176.4</x:v>
      </x:c>
      <x:c r="D17" s="3" t="s">
        <x:v>208</x:v>
      </x:c>
      <x:c r="E17" s="3"/>
      <x:c r="F17" s="3"/>
      <x:c r="G17" s="3"/>
    </x:row>
    <x:row r="18">
      <x:c r="A18" s="4">
        <x:v>46215</x:v>
      </x:c>
      <x:c r="B18" s="3" t="s">
        <x:v>205</x:v>
      </x:c>
      <x:c r="C18" s="5">
        <x:v>73.5</x:v>
      </x:c>
      <x:c r="D18" s="3" t="s">
        <x:v>208</x:v>
      </x:c>
      <x:c r="E18" s="3"/>
      <x:c r="F18" s="3"/>
      <x:c r="G18" s="3"/>
    </x:row>
    <x:row r="19">
      <x:c r="A19" s="4">
        <x:v>46215</x:v>
      </x:c>
      <x:c r="B19" s="3" t="s">
        <x:v>207</x:v>
      </x:c>
      <x:c r="C19" s="5">
        <x:v>58.8</x:v>
      </x:c>
      <x:c r="D19" s="3" t="s">
        <x:v>208</x:v>
      </x:c>
      <x:c r="E19" s="3"/>
      <x:c r="F19" s="3"/>
      <x:c r="G19" s="3"/>
    </x:row>
    <x:row r="20">
      <x:c r="A20" s="4">
        <x:v>46216</x:v>
      </x:c>
      <x:c r="B20" s="3" t="s">
        <x:v>205</x:v>
      </x:c>
      <x:c r="C20" s="5">
        <x:v>117.6</x:v>
      </x:c>
      <x:c r="D20" s="3" t="s">
        <x:v>210</x:v>
      </x:c>
      <x:c r="E20" s="3"/>
      <x:c r="F20" s="3"/>
      <x:c r="G20" s="3"/>
    </x:row>
    <x:row r="21">
      <x:c r="A21" s="4">
        <x:v>46216</x:v>
      </x:c>
      <x:c r="B21" s="3" t="s">
        <x:v>207</x:v>
      </x:c>
      <x:c r="C21" s="5">
        <x:v>156.80000000000001</x:v>
      </x:c>
      <x:c r="D21" s="3" t="s">
        <x:v>210</x:v>
      </x:c>
      <x:c r="E21" s="3"/>
      <x:c r="F21" s="3"/>
      <x:c r="G21" s="3"/>
    </x:row>
    <x:row r="22">
      <x:c r="A22" s="4">
        <x:v>46217</x:v>
      </x:c>
      <x:c r="B22" s="3" t="s">
        <x:v>205</x:v>
      </x:c>
      <x:c r="C22" s="5">
        <x:v>117.6</x:v>
      </x:c>
      <x:c r="D22" s="3" t="s">
        <x:v>210</x:v>
      </x:c>
      <x:c r="E22" s="3"/>
      <x:c r="F22" s="3"/>
      <x:c r="G22" s="3"/>
    </x:row>
    <x:row r="23">
      <x:c r="A23" s="4">
        <x:v>46217</x:v>
      </x:c>
      <x:c r="B23" s="3" t="s">
        <x:v>207</x:v>
      </x:c>
      <x:c r="C23" s="5">
        <x:v>73.5</x:v>
      </x:c>
      <x:c r="D23" s="3" t="s">
        <x:v>210</x:v>
      </x:c>
      <x:c r="E23" s="3"/>
      <x:c r="F23" s="3"/>
      <x:c r="G23" s="3"/>
    </x:row>
    <x:row r="24">
      <x:c r="A24" s="4">
        <x:v>46218</x:v>
      </x:c>
      <x:c r="B24" s="3" t="s">
        <x:v>207</x:v>
      </x:c>
      <x:c r="C24" s="5">
        <x:v>166.6</x:v>
      </x:c>
      <x:c r="D24" s="3" t="s">
        <x:v>210</x:v>
      </x:c>
      <x:c r="E24" s="3"/>
      <x:c r="F24" s="3"/>
      <x:c r="G24" s="3"/>
    </x:row>
    <x:row r="25">
      <x:c r="A25" s="4">
        <x:v>46218</x:v>
      </x:c>
      <x:c r="B25" s="3" t="s">
        <x:v>209</x:v>
      </x:c>
      <x:c r="C25" s="5">
        <x:v>127.4</x:v>
      </x:c>
      <x:c r="D25" s="3" t="s">
        <x:v>210</x:v>
      </x:c>
      <x:c r="E25" s="3"/>
      <x:c r="F25" s="3"/>
      <x:c r="G25" s="3"/>
    </x:row>
    <x:row r="26">
      <x:c r="A26" s="4">
        <x:v>46219</x:v>
      </x:c>
      <x:c r="B26" s="3" t="s">
        <x:v>205</x:v>
      </x:c>
      <x:c r="C26" s="5">
        <x:v>117.6</x:v>
      </x:c>
      <x:c r="D26" s="3" t="s">
        <x:v>210</x:v>
      </x:c>
      <x:c r="E26" s="3"/>
      <x:c r="F26" s="3"/>
      <x:c r="G26" s="3"/>
    </x:row>
    <x:row r="27">
      <x:c r="A27" s="4">
        <x:v>46219</x:v>
      </x:c>
      <x:c r="B27" s="3" t="s">
        <x:v>207</x:v>
      </x:c>
      <x:c r="C27" s="5">
        <x:v>156.80000000000001</x:v>
      </x:c>
      <x:c r="D27" s="3" t="s">
        <x:v>210</x:v>
      </x:c>
      <x:c r="E27" s="3"/>
      <x:c r="F27" s="3"/>
      <x:c r="G27" s="3"/>
    </x:row>
    <x:row r="28">
      <x:c r="A28" s="4">
        <x:v>46219</x:v>
      </x:c>
      <x:c r="B28" s="3" t="s">
        <x:v>209</x:v>
      </x:c>
      <x:c r="C28" s="5">
        <x:v>83.3</x:v>
      </x:c>
      <x:c r="D28" s="3" t="s">
        <x:v>210</x:v>
      </x:c>
      <x:c r="E28" s="3"/>
      <x:c r="F28" s="3"/>
      <x:c r="G28" s="3"/>
    </x:row>
    <x:row r="29">
      <x:c r="A29" s="4">
        <x:v>46220</x:v>
      </x:c>
      <x:c r="B29" s="3" t="s">
        <x:v>205</x:v>
      </x:c>
      <x:c r="C29" s="5">
        <x:v>107.8</x:v>
      </x:c>
      <x:c r="D29" s="3" t="s">
        <x:v>210</x:v>
      </x:c>
      <x:c r="E29" s="3"/>
      <x:c r="F29" s="3"/>
      <x:c r="G29" s="3"/>
    </x:row>
    <x:row r="30">
      <x:c r="A30" s="4">
        <x:v>46220</x:v>
      </x:c>
      <x:c r="B30" s="3" t="s">
        <x:v>207</x:v>
      </x:c>
      <x:c r="C30" s="5">
        <x:v>156.80000000000001</x:v>
      </x:c>
      <x:c r="D30" s="3" t="s">
        <x:v>210</x:v>
      </x:c>
      <x:c r="E30" s="3"/>
      <x:c r="F30" s="3"/>
      <x:c r="G30" s="3"/>
    </x:row>
    <x:row r="31">
      <x:c r="A31" s="4">
        <x:v>46221</x:v>
      </x:c>
      <x:c r="B31" s="3" t="s">
        <x:v>207</x:v>
      </x:c>
      <x:c r="C31" s="5">
        <x:v>88.2</x:v>
      </x:c>
      <x:c r="D31" s="3" t="s">
        <x:v>210</x:v>
      </x:c>
      <x:c r="E31" s="3"/>
      <x:c r="F31" s="3"/>
      <x:c r="G31" s="3"/>
    </x:row>
    <x:row r="32">
      <x:c r="A32" s="4">
        <x:v>46222</x:v>
      </x:c>
      <x:c r="B32" s="3" t="s">
        <x:v>207</x:v>
      </x:c>
      <x:c r="C32" s="5">
        <x:v>117.6</x:v>
      </x:c>
      <x:c r="D32" s="3" t="s">
        <x:v>210</x:v>
      </x:c>
      <x:c r="E32" s="3"/>
      <x:c r="F32" s="3"/>
      <x:c r="G32" s="3"/>
    </x:row>
    <x:row r="33">
      <x:c r="A33" s="4">
        <x:v>46223</x:v>
      </x:c>
      <x:c r="B33" s="3" t="s">
        <x:v>205</x:v>
      </x:c>
      <x:c r="C33" s="5">
        <x:v>213.64</x:v>
      </x:c>
      <x:c r="D33" s="3" t="s">
        <x:v>211</x:v>
      </x:c>
      <x:c r="E33" s="3"/>
      <x:c r="F33" s="3"/>
      <x:c r="G33" s="3"/>
    </x:row>
    <x:row r="34">
      <x:c r="A34" s="4">
        <x:v>46223</x:v>
      </x:c>
      <x:c r="B34" s="3" t="s">
        <x:v>207</x:v>
      </x:c>
      <x:c r="C34" s="5">
        <x:v>156.80000000000001</x:v>
      </x:c>
      <x:c r="D34" s="3" t="s">
        <x:v>211</x:v>
      </x:c>
      <x:c r="E34" s="3"/>
      <x:c r="F34" s="3"/>
      <x:c r="G34" s="3"/>
    </x:row>
    <x:row r="35">
      <x:c r="A35" s="4">
        <x:v>46224</x:v>
      </x:c>
      <x:c r="B35" s="3" t="s">
        <x:v>205</x:v>
      </x:c>
      <x:c r="C35" s="5">
        <x:v>230.3</x:v>
      </x:c>
      <x:c r="D35" s="3" t="s">
        <x:v>211</x:v>
      </x:c>
      <x:c r="E35" s="3"/>
      <x:c r="F35" s="3"/>
      <x:c r="G35" s="3"/>
    </x:row>
    <x:row r="36">
      <x:c r="A36" s="4">
        <x:v>46224</x:v>
      </x:c>
      <x:c r="B36" s="3" t="s">
        <x:v>207</x:v>
      </x:c>
      <x:c r="C36" s="5">
        <x:v>162.68</x:v>
      </x:c>
      <x:c r="D36" s="3" t="s">
        <x:v>211</x:v>
      </x:c>
      <x:c r="E36" s="3"/>
      <x:c r="F36" s="3"/>
      <x:c r="G36" s="3"/>
    </x:row>
    <x:row r="37">
      <x:c r="A37" s="4">
        <x:v>46225</x:v>
      </x:c>
      <x:c r="B37" s="3" t="s">
        <x:v>205</x:v>
      </x:c>
      <x:c r="C37" s="5">
        <x:v>253.82</x:v>
      </x:c>
      <x:c r="D37" s="3" t="s">
        <x:v>211</x:v>
      </x:c>
      <x:c r="E37" s="3"/>
      <x:c r="F37" s="3"/>
      <x:c r="G37" s="3"/>
    </x:row>
    <x:row r="38">
      <x:c r="A38" s="4">
        <x:v>46225</x:v>
      </x:c>
      <x:c r="B38" s="3" t="s">
        <x:v>207</x:v>
      </x:c>
      <x:c r="C38" s="5">
        <x:v>235.2</x:v>
      </x:c>
      <x:c r="D38" s="3" t="s">
        <x:v>211</x:v>
      </x:c>
      <x:c r="E38" s="3"/>
      <x:c r="F38" s="3"/>
      <x:c r="G38" s="3"/>
    </x:row>
    <x:row r="39">
      <x:c r="A39" s="4">
        <x:v>46226</x:v>
      </x:c>
      <x:c r="B39" s="3" t="s">
        <x:v>205</x:v>
      </x:c>
      <x:c r="C39" s="5">
        <x:v>215.6</x:v>
      </x:c>
      <x:c r="D39" s="3" t="s">
        <x:v>211</x:v>
      </x:c>
      <x:c r="E39" s="3"/>
      <x:c r="F39" s="3"/>
      <x:c r="G39" s="3"/>
    </x:row>
    <x:row r="40">
      <x:c r="A40" s="4">
        <x:v>46226</x:v>
      </x:c>
      <x:c r="B40" s="3" t="s">
        <x:v>207</x:v>
      </x:c>
      <x:c r="C40" s="5">
        <x:v>235.2</x:v>
      </x:c>
      <x:c r="D40" s="3" t="s">
        <x:v>211</x:v>
      </x:c>
      <x:c r="E40" s="3"/>
      <x:c r="F40" s="3"/>
      <x:c r="G40" s="3"/>
    </x:row>
    <x:row r="41">
      <x:c r="A41" s="4">
        <x:v>46227</x:v>
      </x:c>
      <x:c r="B41" s="3" t="s">
        <x:v>205</x:v>
      </x:c>
      <x:c r="C41" s="5">
        <x:v>233.24</x:v>
      </x:c>
      <x:c r="D41" s="3" t="s">
        <x:v>211</x:v>
      </x:c>
      <x:c r="E41" s="3"/>
      <x:c r="F41" s="3"/>
      <x:c r="G41" s="3"/>
    </x:row>
    <x:row r="42">
      <x:c r="A42" s="4">
        <x:v>46227</x:v>
      </x:c>
      <x:c r="B42" s="3" t="s">
        <x:v>207</x:v>
      </x:c>
      <x:c r="C42" s="5">
        <x:v>235.2</x:v>
      </x:c>
      <x:c r="D42" s="3" t="s">
        <x:v>211</x:v>
      </x:c>
      <x:c r="E42" s="3"/>
      <x:c r="F42" s="3"/>
      <x:c r="G42" s="3"/>
    </x:row>
    <x:row r="43">
      <x:c r="A43" s="4">
        <x:v>46229</x:v>
      </x:c>
      <x:c r="B43" s="3" t="s">
        <x:v>205</x:v>
      </x:c>
      <x:c r="C43" s="5">
        <x:v>123.48</x:v>
      </x:c>
      <x:c r="D43" s="3" t="s">
        <x:v>211</x:v>
      </x:c>
      <x:c r="E43" s="3"/>
      <x:c r="F43" s="3"/>
      <x:c r="G43" s="3"/>
    </x:row>
    <x:row r="44">
      <x:c r="A44" s="4">
        <x:v>46230</x:v>
      </x:c>
      <x:c r="B44" s="3" t="s">
        <x:v>205</x:v>
      </x:c>
      <x:c r="C44" s="5">
        <x:v>285.18</x:v>
      </x:c>
      <x:c r="D44" s="3" t="s">
        <x:v>212</x:v>
      </x:c>
      <x:c r="E44" s="3"/>
      <x:c r="F44" s="3"/>
      <x:c r="G44" s="3"/>
    </x:row>
    <x:row r="45">
      <x:c r="A45" s="4">
        <x:v>46230</x:v>
      </x:c>
      <x:c r="B45" s="3" t="s">
        <x:v>207</x:v>
      </x:c>
      <x:c r="C45" s="5">
        <x:v>240.1</x:v>
      </x:c>
      <x:c r="D45" s="3" t="s">
        <x:v>212</x:v>
      </x:c>
      <x:c r="E45" s="3"/>
      <x:c r="F45" s="3"/>
      <x:c r="G45" s="3"/>
    </x:row>
    <x:row r="46">
      <x:c r="A46" s="4">
        <x:v>46231</x:v>
      </x:c>
      <x:c r="B46" s="3" t="s">
        <x:v>205</x:v>
      </x:c>
      <x:c r="C46" s="5">
        <x:v>342.02</x:v>
      </x:c>
      <x:c r="D46" s="3" t="s">
        <x:v>212</x:v>
      </x:c>
      <x:c r="E46" s="3"/>
      <x:c r="F46" s="3"/>
      <x:c r="G46" s="3"/>
    </x:row>
    <x:row r="47">
      <x:c r="A47" s="4">
        <x:v>46231</x:v>
      </x:c>
      <x:c r="B47" s="3" t="s">
        <x:v>207</x:v>
      </x:c>
      <x:c r="C47" s="5">
        <x:v>235.2</x:v>
      </x:c>
      <x:c r="D47" s="3" t="s">
        <x:v>212</x:v>
      </x:c>
      <x:c r="E47" s="3"/>
      <x:c r="F47" s="3"/>
      <x:c r="G47" s="3"/>
    </x:row>
    <x:row r="48">
      <x:c r="A48" s="4">
        <x:v>46232</x:v>
      </x:c>
      <x:c r="B48" s="3" t="s">
        <x:v>205</x:v>
      </x:c>
      <x:c r="C48" s="5">
        <x:v>265.58</x:v>
      </x:c>
      <x:c r="D48" s="3" t="s">
        <x:v>212</x:v>
      </x:c>
      <x:c r="E48" s="3"/>
      <x:c r="F48" s="3"/>
      <x:c r="G48" s="3"/>
    </x:row>
    <x:row r="49">
      <x:c r="A49" s="4">
        <x:v>46232</x:v>
      </x:c>
      <x:c r="B49" s="3" t="s">
        <x:v>207</x:v>
      </x:c>
      <x:c r="C49" s="5">
        <x:v>156.80000000000001</x:v>
      </x:c>
      <x:c r="D49" s="3" t="s">
        <x:v>212</x:v>
      </x:c>
      <x:c r="E49" s="3"/>
      <x:c r="F49" s="3"/>
      <x:c r="G49" s="3"/>
    </x:row>
    <x:row r="50">
      <x:c r="A50" s="4">
        <x:v>46233</x:v>
      </x:c>
      <x:c r="B50" s="3" t="s">
        <x:v>205</x:v>
      </x:c>
      <x:c r="C50" s="5">
        <x:v>200.9</x:v>
      </x:c>
      <x:c r="D50" s="3" t="s">
        <x:v>212</x:v>
      </x:c>
      <x:c r="E50" s="3"/>
      <x:c r="F50" s="3"/>
      <x:c r="G50" s="3"/>
    </x:row>
    <x:row r="51">
      <x:c r="A51" s="4">
        <x:v>46233</x:v>
      </x:c>
      <x:c r="B51" s="3" t="s">
        <x:v>207</x:v>
      </x:c>
      <x:c r="C51" s="5">
        <x:v>235.2</x:v>
      </x:c>
      <x:c r="D51" s="3" t="s">
        <x:v>212</x:v>
      </x:c>
      <x:c r="E51" s="3"/>
      <x:c r="F51" s="3"/>
      <x:c r="G51" s="3"/>
    </x:row>
    <x:row r="52">
      <x:c r="A52" s="4">
        <x:v>46236</x:v>
      </x:c>
      <x:c r="B52" s="3" t="s">
        <x:v>205</x:v>
      </x:c>
      <x:c r="C52" s="5">
        <x:v>227.36</x:v>
      </x:c>
      <x:c r="D52" s="3" t="s">
        <x:v>213</x:v>
      </x:c>
      <x:c r="E52" s="3"/>
      <x:c r="F52" s="3"/>
      <x:c r="G52" s="3"/>
    </x:row>
    <x:row r="53">
      <x:c r="A53" s="4">
        <x:v>46237</x:v>
      </x:c>
      <x:c r="B53" s="3" t="s">
        <x:v>205</x:v>
      </x:c>
      <x:c r="C53" s="5">
        <x:v>313.60000000000002</x:v>
      </x:c>
      <x:c r="D53" s="3" t="s">
        <x:v>213</x:v>
      </x:c>
      <x:c r="E53" s="3"/>
      <x:c r="F53" s="3"/>
      <x:c r="G53" s="3"/>
    </x:row>
    <x:row r="54">
      <x:c r="A54" s="4">
        <x:v>46237</x:v>
      </x:c>
      <x:c r="B54" s="3" t="s">
        <x:v>207</x:v>
      </x:c>
      <x:c r="C54" s="5">
        <x:v>156.80000000000001</x:v>
      </x:c>
      <x:c r="D54" s="3" t="s">
        <x:v>213</x:v>
      </x:c>
      <x:c r="E54" s="3"/>
      <x:c r="F54" s="3"/>
      <x:c r="G54" s="3"/>
    </x:row>
    <x:row r="55">
      <x:c r="A55" s="4">
        <x:v>46238</x:v>
      </x:c>
      <x:c r="B55" s="3" t="s">
        <x:v>205</x:v>
      </x:c>
      <x:c r="C55" s="5">
        <x:v>273.42</x:v>
      </x:c>
      <x:c r="D55" s="3" t="s">
        <x:v>213</x:v>
      </x:c>
      <x:c r="E55" s="3"/>
      <x:c r="F55" s="3"/>
      <x:c r="G55" s="3"/>
    </x:row>
    <x:row r="56">
      <x:c r="A56" s="4">
        <x:v>46238</x:v>
      </x:c>
      <x:c r="B56" s="3" t="s">
        <x:v>207</x:v>
      </x:c>
      <x:c r="C56" s="5">
        <x:v>78.400000000000006</x:v>
      </x:c>
      <x:c r="D56" s="3" t="s">
        <x:v>213</x:v>
      </x:c>
      <x:c r="E56" s="3"/>
      <x:c r="F56" s="3"/>
      <x:c r="G56" s="3"/>
    </x:row>
    <x:row r="57">
      <x:c r="A57" s="4">
        <x:v>46239</x:v>
      </x:c>
      <x:c r="B57" s="3" t="s">
        <x:v>207</x:v>
      </x:c>
      <x:c r="C57" s="5">
        <x:v>156.80000000000001</x:v>
      </x:c>
      <x:c r="D57" s="3" t="s">
        <x:v>213</x:v>
      </x:c>
      <x:c r="E57" s="3"/>
      <x:c r="F57" s="3"/>
      <x:c r="G57" s="3"/>
    </x:row>
    <x:row r="58">
      <x:c r="A58" s="4">
        <x:v>46239</x:v>
      </x:c>
      <x:c r="B58" s="3" t="s">
        <x:v>209</x:v>
      </x:c>
      <x:c r="C58" s="5">
        <x:v>262.64</x:v>
      </x:c>
      <x:c r="D58" s="3" t="s">
        <x:v>213</x:v>
      </x:c>
      <x:c r="E58" s="3"/>
      <x:c r="F58" s="3"/>
      <x:c r="G58" s="3"/>
    </x:row>
    <x:row r="59">
      <x:c r="A59" s="4">
        <x:v>46240</x:v>
      </x:c>
      <x:c r="B59" s="3" t="s">
        <x:v>205</x:v>
      </x:c>
      <x:c r="C59" s="5">
        <x:v>243.04</x:v>
      </x:c>
      <x:c r="D59" s="3" t="s">
        <x:v>213</x:v>
      </x:c>
      <x:c r="E59" s="3"/>
      <x:c r="F59" s="3"/>
      <x:c r="G59" s="3"/>
    </x:row>
    <x:row r="60">
      <x:c r="A60" s="4">
        <x:v>46240</x:v>
      </x:c>
      <x:c r="B60" s="3" t="s">
        <x:v>207</x:v>
      </x:c>
      <x:c r="C60" s="5">
        <x:v>137.19999999999999</x:v>
      </x:c>
      <x:c r="D60" s="3" t="s">
        <x:v>213</x:v>
      </x:c>
      <x:c r="E60" s="3"/>
      <x:c r="F60" s="3"/>
      <x:c r="G60" s="3"/>
    </x:row>
    <x:row r="61">
      <x:c r="A61" s="4">
        <x:v>46241</x:v>
      </x:c>
      <x:c r="B61" s="3" t="s">
        <x:v>205</x:v>
      </x:c>
      <x:c r="C61" s="5">
        <x:v>107.8</x:v>
      </x:c>
      <x:c r="D61" s="3" t="s">
        <x:v>213</x:v>
      </x:c>
      <x:c r="E61" s="3"/>
      <x:c r="F61" s="3"/>
      <x:c r="G61" s="3"/>
    </x:row>
    <x:row r="62">
      <x:c r="A62" s="4">
        <x:v>46241</x:v>
      </x:c>
      <x:c r="B62" s="3" t="s">
        <x:v>207</x:v>
      </x:c>
      <x:c r="C62" s="5">
        <x:v>137.19999999999999</x:v>
      </x:c>
      <x:c r="D62" s="3" t="s">
        <x:v>213</x:v>
      </x:c>
      <x:c r="E62" s="3"/>
      <x:c r="F62" s="3"/>
      <x:c r="G62" s="3"/>
    </x:row>
    <x:row r="63">
      <x:c r="A63" s="4">
        <x:v>46243</x:v>
      </x:c>
      <x:c r="B63" s="3" t="s">
        <x:v>205</x:v>
      </x:c>
      <x:c r="C63" s="5">
        <x:v>78.400000000000006</x:v>
      </x:c>
      <x:c r="D63" s="3" t="s">
        <x:v>214</x:v>
      </x:c>
      <x:c r="E63" s="3"/>
      <x:c r="F63" s="3"/>
      <x:c r="G63" s="3"/>
    </x:row>
    <x:row r="64">
      <x:c r="A64" s="4">
        <x:v>46244</x:v>
      </x:c>
      <x:c r="B64" s="3" t="s">
        <x:v>205</x:v>
      </x:c>
      <x:c r="C64" s="5">
        <x:v>308.7</x:v>
      </x:c>
      <x:c r="D64" s="3" t="s">
        <x:v>214</x:v>
      </x:c>
      <x:c r="E64" s="3"/>
      <x:c r="F64" s="3"/>
      <x:c r="G64" s="3"/>
    </x:row>
    <x:row r="65">
      <x:c r="A65" s="4">
        <x:v>46244</x:v>
      </x:c>
      <x:c r="B65" s="3" t="s">
        <x:v>207</x:v>
      </x:c>
      <x:c r="C65" s="5">
        <x:v>156.80000000000001</x:v>
      </x:c>
      <x:c r="D65" s="3" t="s">
        <x:v>214</x:v>
      </x:c>
      <x:c r="E65" s="3"/>
      <x:c r="F65" s="3"/>
      <x:c r="G65" s="3"/>
    </x:row>
    <x:row r="66">
      <x:c r="A66" s="4">
        <x:v>46244</x:v>
      </x:c>
      <x:c r="B66" s="3" t="s">
        <x:v>209</x:v>
      </x:c>
      <x:c r="C66" s="5">
        <x:v>29.4</x:v>
      </x:c>
      <x:c r="D66" s="3" t="s">
        <x:v>214</x:v>
      </x:c>
      <x:c r="E66" s="3"/>
      <x:c r="F66" s="3"/>
      <x:c r="G66" s="3"/>
    </x:row>
    <x:row r="67">
      <x:c r="A67" s="4">
        <x:v>46245</x:v>
      </x:c>
      <x:c r="B67" s="3" t="s">
        <x:v>205</x:v>
      </x:c>
      <x:c r="C67" s="5">
        <x:v>288.12</x:v>
      </x:c>
      <x:c r="D67" s="3" t="s">
        <x:v>214</x:v>
      </x:c>
      <x:c r="E67" s="3"/>
      <x:c r="F67" s="3"/>
      <x:c r="G67" s="3"/>
    </x:row>
    <x:row r="68">
      <x:c r="A68" s="4">
        <x:v>46245</x:v>
      </x:c>
      <x:c r="B68" s="3" t="s">
        <x:v>207</x:v>
      </x:c>
      <x:c r="C68" s="5">
        <x:v>156.80000000000001</x:v>
      </x:c>
      <x:c r="D68" s="3" t="s">
        <x:v>214</x:v>
      </x:c>
      <x:c r="E68" s="3"/>
      <x:c r="F68" s="3"/>
      <x:c r="G68" s="3"/>
    </x:row>
    <x:row r="69">
      <x:c r="A69" s="4">
        <x:v>46246</x:v>
      </x:c>
      <x:c r="B69" s="3" t="s">
        <x:v>207</x:v>
      </x:c>
      <x:c r="C69" s="5">
        <x:v>156.80000000000001</x:v>
      </x:c>
      <x:c r="D69" s="3" t="s">
        <x:v>214</x:v>
      </x:c>
      <x:c r="E69" s="3"/>
      <x:c r="F69" s="3"/>
      <x:c r="G69" s="3"/>
    </x:row>
    <x:row r="70">
      <x:c r="A70" s="4">
        <x:v>46246</x:v>
      </x:c>
      <x:c r="B70" s="3" t="s">
        <x:v>209</x:v>
      </x:c>
      <x:c r="C70" s="5">
        <x:v>285.18</x:v>
      </x:c>
      <x:c r="D70" s="3" t="s">
        <x:v>214</x:v>
      </x:c>
      <x:c r="E70" s="3"/>
      <x:c r="F70" s="3"/>
      <x:c r="G70" s="3"/>
    </x:row>
    <x:row r="71">
      <x:c r="A71" s="4">
        <x:v>46247</x:v>
      </x:c>
      <x:c r="B71" s="3" t="s">
        <x:v>205</x:v>
      </x:c>
      <x:c r="C71" s="5">
        <x:v>202.86</x:v>
      </x:c>
      <x:c r="D71" s="3" t="s">
        <x:v>214</x:v>
      </x:c>
      <x:c r="E71" s="3"/>
      <x:c r="F71" s="3"/>
      <x:c r="G71" s="3"/>
    </x:row>
    <x:row r="72">
      <x:c r="A72" s="4">
        <x:v>46247</x:v>
      </x:c>
      <x:c r="B72" s="3" t="s">
        <x:v>207</x:v>
      </x:c>
      <x:c r="C72" s="5">
        <x:v>156.80000000000001</x:v>
      </x:c>
      <x:c r="D72" s="3" t="s">
        <x:v>214</x:v>
      </x:c>
      <x:c r="E72" s="3"/>
      <x:c r="F72" s="3"/>
      <x:c r="G72" s="3"/>
    </x:row>
    <x:row r="73">
      <x:c r="A73" s="4">
        <x:v>46247</x:v>
      </x:c>
      <x:c r="B73" s="3" t="s">
        <x:v>209</x:v>
      </x:c>
      <x:c r="C73" s="5">
        <x:v>78.400000000000006</x:v>
      </x:c>
      <x:c r="D73" s="3" t="s">
        <x:v>214</x:v>
      </x:c>
      <x:c r="E73" s="3"/>
      <x:c r="F73" s="3"/>
      <x:c r="G73" s="3"/>
    </x:row>
    <x:row r="74">
      <x:c r="A74" s="4">
        <x:v>46248</x:v>
      </x:c>
      <x:c r="B74" s="3" t="s">
        <x:v>205</x:v>
      </x:c>
      <x:c r="C74" s="5">
        <x:v>186.2</x:v>
      </x:c>
      <x:c r="D74" s="3" t="s">
        <x:v>214</x:v>
      </x:c>
      <x:c r="E74" s="3"/>
      <x:c r="F74" s="3"/>
      <x:c r="G74" s="3"/>
    </x:row>
    <x:row r="75">
      <x:c r="A75" s="4">
        <x:v>46248</x:v>
      </x:c>
      <x:c r="B75" s="3" t="s">
        <x:v>207</x:v>
      </x:c>
      <x:c r="C75" s="5">
        <x:v>156.80000000000001</x:v>
      </x:c>
      <x:c r="D75" s="3" t="s">
        <x:v>214</x:v>
      </x:c>
      <x:c r="E75" s="3"/>
      <x:c r="F75" s="3"/>
      <x:c r="G75" s="3"/>
    </x:row>
    <x:row r="76">
      <x:c r="A76" s="4">
        <x:v>46250</x:v>
      </x:c>
      <x:c r="B76" s="3" t="s">
        <x:v>205</x:v>
      </x:c>
      <x:c r="C76" s="5">
        <x:v>173.46</x:v>
      </x:c>
      <x:c r="D76" s="3" t="s">
        <x:v>214</x:v>
      </x:c>
      <x:c r="E76" s="3"/>
      <x:c r="F76" s="3"/>
      <x:c r="G76" s="3"/>
    </x:row>
    <x:row r="77">
      <x:c r="A77" s="4">
        <x:v>46251</x:v>
      </x:c>
      <x:c r="B77" s="3" t="s">
        <x:v>205</x:v>
      </x:c>
      <x:c r="C77" s="5">
        <x:v>192.08</x:v>
      </x:c>
      <x:c r="D77" s="3" t="s">
        <x:v>215</x:v>
      </x:c>
      <x:c r="E77" s="3"/>
      <x:c r="F77" s="3"/>
      <x:c r="G77" s="3"/>
    </x:row>
    <x:row r="78">
      <x:c r="A78" s="4">
        <x:v>46251</x:v>
      </x:c>
      <x:c r="B78" s="3" t="s">
        <x:v>207</x:v>
      </x:c>
      <x:c r="C78" s="5">
        <x:v>78.400000000000006</x:v>
      </x:c>
      <x:c r="D78" s="3" t="s">
        <x:v>215</x:v>
      </x:c>
      <x:c r="E78" s="3"/>
      <x:c r="F78" s="3"/>
      <x:c r="G78" s="3"/>
    </x:row>
    <x:row r="79">
      <x:c r="A79" s="4">
        <x:v>46251</x:v>
      </x:c>
      <x:c r="B79" s="3" t="s">
        <x:v>209</x:v>
      </x:c>
      <x:c r="C79" s="5">
        <x:v>39.200000000000003</x:v>
      </x:c>
      <x:c r="D79" s="3" t="s">
        <x:v>215</x:v>
      </x:c>
      <x:c r="E79" s="3"/>
      <x:c r="F79" s="3"/>
      <x:c r="G79" s="3"/>
    </x:row>
    <x:row r="80">
      <x:c r="A80" s="4">
        <x:v>46252</x:v>
      </x:c>
      <x:c r="B80" s="3" t="s">
        <x:v>205</x:v>
      </x:c>
      <x:c r="C80" s="5">
        <x:v>192.08</x:v>
      </x:c>
      <x:c r="D80" s="3" t="s">
        <x:v>215</x:v>
      </x:c>
      <x:c r="E80" s="3"/>
      <x:c r="F80" s="3"/>
      <x:c r="G80" s="3"/>
    </x:row>
    <x:row r="81">
      <x:c r="A81" s="4">
        <x:v>46252</x:v>
      </x:c>
      <x:c r="B81" s="3" t="s">
        <x:v>207</x:v>
      </x:c>
      <x:c r="C81" s="5">
        <x:v>78.400000000000006</x:v>
      </x:c>
      <x:c r="D81" s="3" t="s">
        <x:v>215</x:v>
      </x:c>
      <x:c r="E81" s="3"/>
      <x:c r="F81" s="3"/>
      <x:c r="G81" s="3"/>
    </x:row>
    <x:row r="82">
      <x:c r="A82" s="4">
        <x:v>46253</x:v>
      </x:c>
      <x:c r="B82" s="3" t="s">
        <x:v>205</x:v>
      </x:c>
      <x:c r="C82" s="5">
        <x:v>179.34</x:v>
      </x:c>
      <x:c r="D82" s="3" t="s">
        <x:v>215</x:v>
      </x:c>
      <x:c r="E82" s="3"/>
      <x:c r="F82" s="3"/>
      <x:c r="G82" s="3"/>
    </x:row>
    <x:row r="83">
      <x:c r="A83" s="4">
        <x:v>46253</x:v>
      </x:c>
      <x:c r="B83" s="3" t="s">
        <x:v>207</x:v>
      </x:c>
      <x:c r="C83" s="5">
        <x:v>78.400000000000006</x:v>
      </x:c>
      <x:c r="D83" s="3" t="s">
        <x:v>215</x:v>
      </x:c>
      <x:c r="E83" s="3"/>
      <x:c r="F83" s="3"/>
      <x:c r="G83" s="3"/>
    </x:row>
    <x:row r="84">
      <x:c r="A84" s="4">
        <x:v>46254</x:v>
      </x:c>
      <x:c r="B84" s="3" t="s">
        <x:v>205</x:v>
      </x:c>
      <x:c r="C84" s="5">
        <x:v>186.2</x:v>
      </x:c>
      <x:c r="D84" s="3" t="s">
        <x:v>215</x:v>
      </x:c>
      <x:c r="E84" s="3"/>
      <x:c r="F84" s="3"/>
      <x:c r="G84" s="3"/>
    </x:row>
    <x:row r="85">
      <x:c r="A85" s="4">
        <x:v>46254</x:v>
      </x:c>
      <x:c r="B85" s="3" t="s">
        <x:v>207</x:v>
      </x:c>
      <x:c r="C85" s="5">
        <x:v>78.400000000000006</x:v>
      </x:c>
      <x:c r="D85" s="3" t="s">
        <x:v>215</x:v>
      </x:c>
      <x:c r="E85" s="3"/>
      <x:c r="F85" s="3"/>
      <x:c r="G85" s="3"/>
    </x:row>
    <x:row r="86">
      <x:c r="A86" s="4">
        <x:v>46255</x:v>
      </x:c>
      <x:c r="B86" s="3" t="s">
        <x:v>205</x:v>
      </x:c>
      <x:c r="C86" s="5">
        <x:v>206.78</x:v>
      </x:c>
      <x:c r="D86" s="3" t="s">
        <x:v>215</x:v>
      </x:c>
      <x:c r="E86" s="3"/>
      <x:c r="F86" s="3"/>
      <x:c r="G86" s="3"/>
    </x:row>
    <x:row r="87">
      <x:c r="A87" s="4">
        <x:v>46255</x:v>
      </x:c>
      <x:c r="B87" s="3" t="s">
        <x:v>207</x:v>
      </x:c>
      <x:c r="C87" s="5">
        <x:v>78.400000000000006</x:v>
      </x:c>
      <x:c r="D87" s="3" t="s">
        <x:v>215</x:v>
      </x:c>
      <x:c r="E87" s="3"/>
      <x:c r="F87" s="3"/>
      <x:c r="G87" s="3"/>
    </x:row>
    <x:row r="88">
      <x:c r="A88" s="4">
        <x:v>46258</x:v>
      </x:c>
      <x:c r="B88" s="3" t="s">
        <x:v>205</x:v>
      </x:c>
      <x:c r="C88" s="5">
        <x:v>128.38</x:v>
      </x:c>
      <x:c r="D88" s="3" t="s">
        <x:v>216</x:v>
      </x:c>
      <x:c r="E88" s="3"/>
      <x:c r="F88" s="3"/>
      <x:c r="G88" s="3"/>
    </x:row>
    <x:row r="89">
      <x:c r="A89" s="4">
        <x:v>46258</x:v>
      </x:c>
      <x:c r="B89" s="3" t="s">
        <x:v>207</x:v>
      </x:c>
      <x:c r="C89" s="5">
        <x:v>78.400000000000006</x:v>
      </x:c>
      <x:c r="D89" s="3" t="s">
        <x:v>216</x:v>
      </x:c>
      <x:c r="E89" s="3"/>
      <x:c r="F89" s="3"/>
      <x:c r="G89" s="3"/>
    </x:row>
    <x:row r="90">
      <x:c r="A90" s="4">
        <x:v>46259</x:v>
      </x:c>
      <x:c r="B90" s="3" t="s">
        <x:v>205</x:v>
      </x:c>
      <x:c r="C90" s="5">
        <x:v>239.12</x:v>
      </x:c>
      <x:c r="D90" s="3" t="s">
        <x:v>216</x:v>
      </x:c>
      <x:c r="E90" s="3"/>
      <x:c r="F90" s="3"/>
      <x:c r="G90" s="3"/>
    </x:row>
    <x:row r="91">
      <x:c r="A91" s="4">
        <x:v>46259</x:v>
      </x:c>
      <x:c r="B91" s="3" t="s">
        <x:v>207</x:v>
      </x:c>
      <x:c r="C91" s="5">
        <x:v>166.6</x:v>
      </x:c>
      <x:c r="D91" s="3" t="s">
        <x:v>216</x:v>
      </x:c>
      <x:c r="E91" s="3"/>
      <x:c r="F91" s="3"/>
      <x:c r="G91" s="3"/>
    </x:row>
    <x:row r="92">
      <x:c r="A92" s="4">
        <x:v>46260</x:v>
      </x:c>
      <x:c r="B92" s="3" t="s">
        <x:v>207</x:v>
      </x:c>
      <x:c r="C92" s="5">
        <x:v>147</x:v>
      </x:c>
      <x:c r="D92" s="3" t="s">
        <x:v>216</x:v>
      </x:c>
      <x:c r="E92" s="3"/>
      <x:c r="F92" s="3"/>
      <x:c r="G92" s="3"/>
    </x:row>
    <x:row r="93">
      <x:c r="A93" s="4">
        <x:v>46260</x:v>
      </x:c>
      <x:c r="B93" s="3" t="s">
        <x:v>209</x:v>
      </x:c>
      <x:c r="C93" s="5">
        <x:v>252.84</x:v>
      </x:c>
      <x:c r="D93" s="3" t="s">
        <x:v>216</x:v>
      </x:c>
      <x:c r="E93" s="3"/>
      <x:c r="F93" s="3"/>
      <x:c r="G93" s="3"/>
    </x:row>
    <x:row r="94">
      <x:c r="A94" s="4">
        <x:v>46261</x:v>
      </x:c>
      <x:c r="B94" s="3" t="s">
        <x:v>205</x:v>
      </x:c>
      <x:c r="C94" s="5">
        <x:v>242.25</x:v>
      </x:c>
      <x:c r="D94" s="3" t="s">
        <x:v>216</x:v>
      </x:c>
      <x:c r="E94" s="3"/>
      <x:c r="F94" s="3"/>
      <x:c r="G94" s="3"/>
    </x:row>
    <x:row r="95">
      <x:c r="A95" s="4">
        <x:v>46261</x:v>
      </x:c>
      <x:c r="B95" s="3" t="s">
        <x:v>207</x:v>
      </x:c>
      <x:c r="C95" s="5">
        <x:v>156.80000000000001</x:v>
      </x:c>
      <x:c r="D95" s="3" t="s">
        <x:v>216</x:v>
      </x:c>
      <x:c r="E95" s="3"/>
      <x:c r="F95" s="3"/>
      <x:c r="G95" s="3"/>
    </x:row>
    <x:row r="96">
      <x:c r="A96" s="4">
        <x:v>46262</x:v>
      </x:c>
      <x:c r="B96" s="3" t="s">
        <x:v>205</x:v>
      </x:c>
      <x:c r="C96" s="5">
        <x:v>259.7</x:v>
      </x:c>
      <x:c r="D96" s="3" t="s">
        <x:v>216</x:v>
      </x:c>
      <x:c r="E96" s="3"/>
      <x:c r="F96" s="3"/>
      <x:c r="G96" s="3"/>
    </x:row>
    <x:row r="97">
      <x:c r="A97" s="4">
        <x:v>46262</x:v>
      </x:c>
      <x:c r="B97" s="3" t="s">
        <x:v>207</x:v>
      </x:c>
      <x:c r="C97" s="5">
        <x:v>156.80000000000001</x:v>
      </x:c>
      <x:c r="D97" s="3" t="s">
        <x:v>216</x:v>
      </x:c>
      <x:c r="E97" s="3"/>
      <x:c r="F97" s="3"/>
      <x:c r="G97" s="3"/>
    </x:row>
    <x:row r="98">
      <x:c r="A98" s="4">
        <x:v>46265</x:v>
      </x:c>
      <x:c r="B98" s="3" t="s">
        <x:v>205</x:v>
      </x:c>
      <x:c r="C98" s="5">
        <x:v>277.33999999999997</x:v>
      </x:c>
      <x:c r="D98" s="3" t="s">
        <x:v>217</x:v>
      </x:c>
      <x:c r="E98" s="3"/>
      <x:c r="F98" s="3"/>
      <x:c r="G98" s="3"/>
    </x:row>
    <x:row r="99">
      <x:c r="A99" s="4">
        <x:v>46265</x:v>
      </x:c>
      <x:c r="B99" s="3" t="s">
        <x:v>207</x:v>
      </x:c>
      <x:c r="C99" s="5">
        <x:v>156.80000000000001</x:v>
      </x:c>
      <x:c r="D99" s="3" t="s">
        <x:v>217</x:v>
      </x:c>
      <x:c r="E99" s="3"/>
      <x:c r="F99" s="3"/>
      <x:c r="G99" s="3"/>
    </x:row>
    <x:row r="100">
      <x:c r="A100" s="4"/>
      <x:c r="B100" s="3"/>
      <x:c r="C100" s="5"/>
      <x:c r="D100" s="3"/>
      <x:c r="E100" s="3"/>
      <x:c r="F100" s="3"/>
      <x:c r="G100" s="3"/>
    </x:row>
    <x:row r="101">
      <x:c r="A101" s="4"/>
      <x:c r="B101" s="3"/>
      <x:c r="C101" s="5"/>
      <x:c r="D101" s="3"/>
      <x:c r="E101" s="3"/>
      <x:c r="F101" s="3"/>
      <x:c r="G101" s="3"/>
    </x:row>
    <x:row r="102">
      <x:c r="A102" s="4"/>
      <x:c r="B102" s="3"/>
      <x:c r="C102" s="5"/>
      <x:c r="D102" s="3"/>
      <x:c r="E102" s="3"/>
      <x:c r="F102" s="3"/>
      <x:c r="G102" s="3"/>
    </x:row>
    <x:row r="103">
      <x:c r="A103" s="4"/>
      <x:c r="B103" s="3"/>
      <x:c r="C103" s="5"/>
      <x:c r="D103" s="3"/>
      <x:c r="E103" s="3"/>
      <x:c r="F103" s="3"/>
      <x:c r="G103" s="3"/>
    </x:row>
    <x:row r="104">
      <x:c r="A104" s="4"/>
      <x:c r="B104" s="3"/>
      <x:c r="C104" s="5"/>
      <x:c r="D104" s="3"/>
      <x:c r="E104" s="3"/>
      <x:c r="F104" s="3"/>
      <x:c r="G104" s="3"/>
    </x:row>
    <x:row r="105">
      <x:c r="A105" s="4"/>
      <x:c r="B105" s="3"/>
      <x:c r="C105" s="5"/>
      <x:c r="D105" s="3"/>
      <x:c r="E105" s="3"/>
      <x:c r="F105" s="3"/>
      <x:c r="G105" s="3"/>
    </x:row>
    <x:row r="106">
      <x:c r="A106" s="4"/>
      <x:c r="B106" s="3"/>
      <x:c r="C106" s="5"/>
      <x:c r="D106" s="3"/>
      <x:c r="E106" s="3"/>
      <x:c r="F106" s="3"/>
      <x:c r="G106" s="3"/>
    </x:row>
    <x:row r="107">
      <x:c r="A107" s="4"/>
      <x:c r="B107" s="3"/>
      <x:c r="C107" s="5"/>
      <x:c r="D107" s="3"/>
      <x:c r="E107" s="3"/>
      <x:c r="F107" s="3"/>
      <x:c r="G107" s="3"/>
    </x:row>
    <x:row r="108">
      <x:c r="A108" s="4"/>
      <x:c r="B108" s="3"/>
      <x:c r="C108" s="5"/>
      <x:c r="D108" s="3"/>
      <x:c r="E108" s="3"/>
      <x:c r="F108" s="3"/>
      <x:c r="G108" s="3"/>
    </x:row>
    <x:row r="109">
      <x:c r="A109" s="4"/>
      <x:c r="B109" s="3"/>
      <x:c r="C109" s="5"/>
      <x:c r="D109" s="3"/>
      <x:c r="E109" s="3"/>
      <x:c r="F109" s="3"/>
      <x:c r="G109" s="3"/>
    </x:row>
    <x:row r="110">
      <x:c r="A110" s="4"/>
      <x:c r="B110" s="3"/>
      <x:c r="C110" s="5"/>
      <x:c r="D110" s="3"/>
      <x:c r="E110" s="3"/>
      <x:c r="F110" s="3"/>
      <x:c r="G110" s="3"/>
    </x:row>
    <x:row r="111">
      <x:c r="A111" s="4"/>
      <x:c r="B111" s="3"/>
      <x:c r="C111" s="5"/>
      <x:c r="D111" s="3"/>
      <x:c r="E111" s="3"/>
      <x:c r="F111" s="3"/>
      <x:c r="G111" s="3"/>
    </x:row>
    <x:row r="112">
      <x:c r="A112" s="4"/>
      <x:c r="B112" s="3"/>
      <x:c r="C112" s="5"/>
      <x:c r="D112" s="3"/>
      <x:c r="E112" s="3"/>
      <x:c r="F112" s="3"/>
      <x:c r="G112" s="3"/>
    </x:row>
    <x:row r="113">
      <x:c r="A113" s="4"/>
      <x:c r="B113" s="3"/>
      <x:c r="C113" s="5"/>
      <x:c r="D113" s="3"/>
      <x:c r="E113" s="3"/>
      <x:c r="F113" s="3"/>
      <x:c r="G113" s="3"/>
    </x:row>
    <x:row r="114">
      <x:c r="A114" s="4"/>
      <x:c r="B114" s="3"/>
      <x:c r="C114" s="5"/>
      <x:c r="D114" s="3"/>
      <x:c r="E114" s="3"/>
      <x:c r="F114" s="3"/>
      <x:c r="G114" s="3"/>
    </x:row>
    <x:row r="115">
      <x:c r="A115" s="4"/>
      <x:c r="B115" s="3"/>
      <x:c r="C115" s="5"/>
      <x:c r="D115" s="3"/>
      <x:c r="E115" s="3"/>
      <x:c r="F115" s="3"/>
      <x:c r="G115" s="3"/>
    </x:row>
    <x:row r="116">
      <x:c r="A116" s="4"/>
      <x:c r="B116" s="3"/>
      <x:c r="C116" s="5"/>
      <x:c r="D116" s="3"/>
      <x:c r="E116" s="3"/>
      <x:c r="F116" s="3"/>
      <x:c r="G116" s="3"/>
    </x:row>
    <x:row r="117">
      <x:c r="A117" s="4"/>
      <x:c r="B117" s="3"/>
      <x:c r="C117" s="5"/>
      <x:c r="D117" s="3"/>
      <x:c r="E117" s="3"/>
      <x:c r="F117" s="3"/>
      <x:c r="G117" s="3"/>
    </x:row>
    <x:row r="118">
      <x:c r="A118" s="4"/>
      <x:c r="B118" s="3"/>
      <x:c r="C118" s="5"/>
      <x:c r="D118" s="3"/>
      <x:c r="E118" s="3"/>
      <x:c r="F118" s="3"/>
      <x:c r="G118" s="3"/>
    </x:row>
    <x:row r="119">
      <x:c r="A119" s="4"/>
      <x:c r="B119" s="3"/>
      <x:c r="C119" s="5"/>
      <x:c r="D119" s="3"/>
      <x:c r="E119" s="3"/>
      <x:c r="F119" s="3"/>
      <x:c r="G119" s="3"/>
    </x:row>
    <x:row r="120">
      <x:c r="A120" s="4"/>
      <x:c r="B120" s="3"/>
      <x:c r="C120" s="5"/>
      <x:c r="D120" s="3"/>
      <x:c r="E120" s="3"/>
      <x:c r="F120" s="3"/>
      <x:c r="G120" s="3"/>
    </x:row>
    <x:row r="121">
      <x:c r="A121" s="4"/>
      <x:c r="B121" s="3"/>
      <x:c r="C121" s="5"/>
      <x:c r="D121" s="3"/>
      <x:c r="E121" s="3"/>
      <x:c r="F121" s="3"/>
      <x:c r="G121" s="3"/>
    </x:row>
    <x:row r="122">
      <x:c r="A122" s="4"/>
      <x:c r="B122" s="3"/>
      <x:c r="C122" s="5"/>
      <x:c r="D122" s="3"/>
      <x:c r="E122" s="3"/>
      <x:c r="F122" s="3"/>
      <x:c r="G122" s="3"/>
    </x:row>
    <x:row r="123">
      <x:c r="A123" s="4"/>
      <x:c r="B123" s="3"/>
      <x:c r="C123" s="5"/>
      <x:c r="D123" s="3"/>
      <x:c r="E123" s="3"/>
      <x:c r="F123" s="3"/>
      <x:c r="G123" s="3"/>
    </x:row>
    <x:row r="124">
      <x:c r="A124" s="4"/>
      <x:c r="B124" s="3"/>
      <x:c r="C124" s="5"/>
      <x:c r="D124" s="3"/>
      <x:c r="E124" s="3"/>
      <x:c r="F124" s="3"/>
      <x:c r="G124" s="3"/>
    </x:row>
    <x:row r="125">
      <x:c r="A125" s="4"/>
      <x:c r="B125" s="3"/>
      <x:c r="C125" s="5"/>
      <x:c r="D125" s="3"/>
      <x:c r="E125" s="3"/>
      <x:c r="F125" s="3"/>
      <x:c r="G125" s="3"/>
    </x:row>
    <x:row r="126">
      <x:c r="A126" s="4"/>
      <x:c r="B126" s="3"/>
      <x:c r="C126" s="5"/>
      <x:c r="D126" s="3"/>
      <x:c r="E126" s="3"/>
      <x:c r="F126" s="3"/>
      <x:c r="G126" s="3"/>
    </x:row>
    <x:row r="127">
      <x:c r="A127" s="4"/>
      <x:c r="B127" s="3"/>
      <x:c r="C127" s="5"/>
      <x:c r="D127" s="3"/>
      <x:c r="E127" s="3"/>
      <x:c r="F127" s="3"/>
      <x:c r="G127" s="3"/>
    </x:row>
    <x:row r="128">
      <x:c r="A128" s="4"/>
      <x:c r="B128" s="3"/>
      <x:c r="C128" s="5"/>
      <x:c r="D128" s="3"/>
      <x:c r="E128" s="3"/>
      <x:c r="F128" s="3"/>
      <x:c r="G128" s="3"/>
    </x:row>
    <x:row r="129">
      <x:c r="A129" s="4"/>
      <x:c r="B129" s="3"/>
      <x:c r="C129" s="5"/>
      <x:c r="D129" s="3"/>
      <x:c r="E129" s="3"/>
      <x:c r="F129" s="3"/>
      <x:c r="G129" s="3"/>
    </x:row>
    <x:row r="130">
      <x:c r="A130" s="4"/>
      <x:c r="B130" s="3"/>
      <x:c r="C130" s="5"/>
      <x:c r="D130" s="3"/>
      <x:c r="E130" s="3"/>
      <x:c r="F130" s="3"/>
      <x:c r="G130" s="3"/>
    </x:row>
    <x:row r="131">
      <x:c r="A131" s="4"/>
      <x:c r="B131" s="3"/>
      <x:c r="C131" s="5"/>
      <x:c r="D131" s="3"/>
      <x:c r="E131" s="3"/>
      <x:c r="F131" s="3"/>
      <x:c r="G131" s="3"/>
    </x:row>
    <x:row r="132">
      <x:c r="A132" s="4"/>
      <x:c r="B132" s="3"/>
      <x:c r="C132" s="5"/>
      <x:c r="D132" s="3"/>
      <x:c r="E132" s="3"/>
      <x:c r="F132" s="3"/>
      <x:c r="G132" s="3"/>
    </x:row>
    <x:row r="133">
      <x:c r="A133" s="4"/>
      <x:c r="B133" s="3"/>
      <x:c r="C133" s="5"/>
      <x:c r="D133" s="3"/>
      <x:c r="E133" s="3"/>
      <x:c r="F133" s="3"/>
      <x:c r="G133" s="3"/>
    </x:row>
    <x:row r="134">
      <x:c r="A134" s="4"/>
      <x:c r="B134" s="3"/>
      <x:c r="C134" s="5"/>
      <x:c r="D134" s="3"/>
      <x:c r="E134" s="3"/>
      <x:c r="F134" s="3"/>
      <x:c r="G134" s="3"/>
    </x:row>
    <x:row r="135">
      <x:c r="A135" s="4"/>
      <x:c r="B135" s="3"/>
      <x:c r="C135" s="5"/>
      <x:c r="D135" s="3"/>
      <x:c r="E135" s="3"/>
      <x:c r="F135" s="3"/>
      <x:c r="G135" s="3"/>
    </x:row>
    <x:row r="136">
      <x:c r="A136" s="4"/>
      <x:c r="B136" s="3"/>
      <x:c r="C136" s="5"/>
      <x:c r="D136" s="3"/>
      <x:c r="E136" s="3"/>
      <x:c r="F136" s="3"/>
      <x:c r="G136" s="3"/>
    </x:row>
    <x:row r="137">
      <x:c r="A137" s="4"/>
      <x:c r="B137" s="3"/>
      <x:c r="C137" s="5"/>
      <x:c r="D137" s="3"/>
      <x:c r="E137" s="3"/>
      <x:c r="F137" s="3"/>
      <x:c r="G137" s="3"/>
    </x:row>
    <x:row r="138">
      <x:c r="A138" s="4"/>
      <x:c r="B138" s="3"/>
      <x:c r="C138" s="5"/>
      <x:c r="D138" s="3"/>
      <x:c r="E138" s="3"/>
      <x:c r="F138" s="3"/>
      <x:c r="G138" s="3"/>
    </x:row>
    <x:row r="139">
      <x:c r="A139" s="4"/>
      <x:c r="B139" s="3"/>
      <x:c r="C139" s="5"/>
      <x:c r="D139" s="3"/>
      <x:c r="E139" s="3"/>
      <x:c r="F139" s="3"/>
      <x:c r="G139" s="3"/>
    </x:row>
    <x:row r="140">
      <x:c r="A140" s="4"/>
      <x:c r="B140" s="3"/>
      <x:c r="C140" s="5"/>
      <x:c r="D140" s="3"/>
      <x:c r="E140" s="3"/>
      <x:c r="F140" s="3"/>
      <x:c r="G140" s="3"/>
    </x:row>
    <x:row r="141">
      <x:c r="A141" s="4"/>
      <x:c r="B141" s="3"/>
      <x:c r="C141" s="5"/>
      <x:c r="D141" s="3"/>
      <x:c r="E141" s="3"/>
      <x:c r="F141" s="3"/>
      <x:c r="G141" s="3"/>
    </x:row>
    <x:row r="142">
      <x:c r="A142" s="4"/>
      <x:c r="B142" s="3"/>
      <x:c r="C142" s="5"/>
      <x:c r="D142" s="3"/>
      <x:c r="E142" s="3"/>
      <x:c r="F142" s="3"/>
      <x:c r="G142" s="3"/>
    </x:row>
    <x:row r="143">
      <x:c r="A143" s="4"/>
      <x:c r="B143" s="3"/>
      <x:c r="C143" s="5"/>
      <x:c r="D143" s="3"/>
      <x:c r="E143" s="3"/>
      <x:c r="F143" s="3"/>
      <x:c r="G143" s="3"/>
    </x:row>
    <x:row r="144">
      <x:c r="A144" s="4"/>
      <x:c r="B144" s="3"/>
      <x:c r="C144" s="5"/>
      <x:c r="D144" s="3"/>
      <x:c r="E144" s="3"/>
      <x:c r="F144" s="3"/>
      <x:c r="G144" s="3"/>
    </x:row>
    <x:row r="145">
      <x:c r="A145" s="4"/>
      <x:c r="B145" s="3"/>
      <x:c r="C145" s="5"/>
      <x:c r="D145" s="3"/>
      <x:c r="E145" s="3"/>
      <x:c r="F145" s="3"/>
      <x:c r="G145" s="3"/>
    </x:row>
    <x:row r="146">
      <x:c r="A146" s="4"/>
      <x:c r="B146" s="3"/>
      <x:c r="C146" s="5"/>
      <x:c r="D146" s="3"/>
      <x:c r="E146" s="3"/>
      <x:c r="F146" s="3"/>
      <x:c r="G146" s="3"/>
    </x:row>
    <x:row r="147">
      <x:c r="A147" s="4"/>
      <x:c r="B147" s="3"/>
      <x:c r="C147" s="5"/>
      <x:c r="D147" s="3"/>
      <x:c r="E147" s="3"/>
      <x:c r="F147" s="3"/>
      <x:c r="G147" s="3"/>
    </x:row>
    <x:row r="148">
      <x:c r="A148" s="4"/>
      <x:c r="B148" s="3"/>
      <x:c r="C148" s="5"/>
      <x:c r="D148" s="3"/>
      <x:c r="E148" s="3"/>
      <x:c r="F148" s="3"/>
      <x:c r="G148" s="3"/>
    </x:row>
    <x:row r="149">
      <x:c r="A149" s="4"/>
      <x:c r="B149" s="3"/>
      <x:c r="C149" s="5"/>
      <x:c r="D149" s="3"/>
      <x:c r="E149" s="3"/>
      <x:c r="F149" s="3"/>
      <x:c r="G149" s="3"/>
    </x:row>
    <x:row r="150">
      <x:c r="A150" s="4"/>
      <x:c r="B150" s="3"/>
      <x:c r="C150" s="5"/>
      <x:c r="D150" s="3"/>
      <x:c r="E150" s="3"/>
      <x:c r="F150" s="3"/>
      <x:c r="G150" s="3"/>
    </x:row>
    <x:row r="151">
      <x:c r="A151" s="4"/>
      <x:c r="B151" s="3"/>
      <x:c r="C151" s="5"/>
      <x:c r="D151" s="3"/>
      <x:c r="E151" s="3"/>
      <x:c r="F151" s="3"/>
      <x:c r="G151" s="3"/>
    </x:row>
    <x:row r="152">
      <x:c r="A152" s="4"/>
      <x:c r="B152" s="3"/>
      <x:c r="C152" s="5"/>
      <x:c r="D152" s="3"/>
      <x:c r="E152" s="3"/>
      <x:c r="F152" s="3"/>
      <x:c r="G152" s="3"/>
    </x:row>
    <x:row r="153">
      <x:c r="A153" s="4"/>
      <x:c r="B153" s="3"/>
      <x:c r="C153" s="5"/>
      <x:c r="D153" s="3"/>
      <x:c r="E153" s="3"/>
      <x:c r="F153" s="3"/>
      <x:c r="G153" s="3"/>
    </x:row>
    <x:row r="154">
      <x:c r="A154" s="4"/>
      <x:c r="B154" s="3"/>
      <x:c r="C154" s="5"/>
      <x:c r="D154" s="3"/>
      <x:c r="E154" s="3"/>
      <x:c r="F154" s="3"/>
      <x:c r="G154" s="3"/>
    </x:row>
    <x:row r="155">
      <x:c r="A155" s="4"/>
      <x:c r="B155" s="3"/>
      <x:c r="C155" s="5"/>
      <x:c r="D155" s="3"/>
      <x:c r="E155" s="3"/>
      <x:c r="F155" s="3"/>
      <x:c r="G155" s="3"/>
    </x:row>
    <x:row r="156">
      <x:c r="A156" s="4"/>
      <x:c r="B156" s="3"/>
      <x:c r="C156" s="5"/>
      <x:c r="D156" s="3"/>
      <x:c r="E156" s="3"/>
      <x:c r="F156" s="3"/>
      <x:c r="G156" s="3"/>
    </x:row>
    <x:row r="157">
      <x:c r="A157" s="4"/>
      <x:c r="B157" s="3"/>
      <x:c r="C157" s="5"/>
      <x:c r="D157" s="3"/>
      <x:c r="E157" s="3"/>
      <x:c r="F157" s="3"/>
      <x:c r="G157" s="3"/>
    </x:row>
    <x:row r="158">
      <x:c r="A158" s="4"/>
      <x:c r="B158" s="3"/>
      <x:c r="C158" s="5"/>
      <x:c r="D158" s="3"/>
      <x:c r="E158" s="3"/>
      <x:c r="F158" s="3"/>
      <x:c r="G158" s="3"/>
    </x:row>
    <x:row r="159">
      <x:c r="A159" s="4"/>
      <x:c r="B159" s="3"/>
      <x:c r="C159" s="5"/>
      <x:c r="D159" s="3"/>
      <x:c r="E159" s="3"/>
      <x:c r="F159" s="3"/>
      <x:c r="G159" s="3"/>
    </x:row>
    <x:row r="160">
      <x:c r="A160" s="4"/>
      <x:c r="B160" s="3"/>
      <x:c r="C160" s="5"/>
      <x:c r="D160" s="3"/>
      <x:c r="E160" s="3"/>
      <x:c r="F160" s="3"/>
      <x:c r="G160" s="3"/>
    </x:row>
    <x:row r="161">
      <x:c r="A161" s="4"/>
      <x:c r="B161" s="3"/>
      <x:c r="C161" s="5"/>
      <x:c r="D161" s="3"/>
      <x:c r="E161" s="3"/>
      <x:c r="F161" s="3"/>
      <x:c r="G161" s="3"/>
    </x:row>
    <x:row r="162">
      <x:c r="A162" s="4"/>
      <x:c r="B162" s="3"/>
      <x:c r="C162" s="5"/>
      <x:c r="D162" s="3"/>
      <x:c r="E162" s="3"/>
      <x:c r="F162" s="3"/>
      <x:c r="G162" s="3"/>
    </x:row>
    <x:row r="163">
      <x:c r="A163" s="4"/>
      <x:c r="B163" s="3"/>
      <x:c r="C163" s="5"/>
      <x:c r="D163" s="3"/>
      <x:c r="E163" s="3"/>
      <x:c r="F163" s="3"/>
      <x:c r="G163" s="3"/>
    </x:row>
    <x:row r="164">
      <x:c r="A164" s="4"/>
      <x:c r="B164" s="3"/>
      <x:c r="C164" s="5"/>
      <x:c r="D164" s="3"/>
      <x:c r="E164" s="3"/>
      <x:c r="F164" s="3"/>
      <x:c r="G164" s="3"/>
    </x:row>
    <x:row r="165">
      <x:c r="A165" s="4"/>
      <x:c r="B165" s="3"/>
      <x:c r="C165" s="5"/>
      <x:c r="D165" s="3"/>
      <x:c r="E165" s="3"/>
      <x:c r="F165" s="3"/>
      <x:c r="G165" s="3"/>
    </x:row>
    <x:row r="166">
      <x:c r="A166" s="4"/>
      <x:c r="B166" s="3"/>
      <x:c r="C166" s="5"/>
      <x:c r="D166" s="3"/>
      <x:c r="E166" s="3"/>
      <x:c r="F166" s="3"/>
      <x:c r="G166" s="3"/>
    </x:row>
    <x:row r="167">
      <x:c r="A167" s="4"/>
      <x:c r="B167" s="3"/>
      <x:c r="C167" s="5"/>
      <x:c r="D167" s="3"/>
      <x:c r="E167" s="3"/>
      <x:c r="F167" s="3"/>
      <x:c r="G167" s="3"/>
    </x:row>
    <x:row r="168">
      <x:c r="A168" s="4"/>
      <x:c r="B168" s="3"/>
      <x:c r="C168" s="5"/>
      <x:c r="D168" s="3"/>
      <x:c r="E168" s="3"/>
      <x:c r="F168" s="3"/>
      <x:c r="G168" s="3"/>
    </x:row>
    <x:row r="169">
      <x:c r="A169" s="4"/>
      <x:c r="B169" s="3"/>
      <x:c r="C169" s="5"/>
      <x:c r="D169" s="3"/>
      <x:c r="E169" s="3"/>
      <x:c r="F169" s="3"/>
      <x:c r="G169" s="3"/>
    </x:row>
    <x:row r="170">
      <x:c r="A170" s="4"/>
      <x:c r="B170" s="3"/>
      <x:c r="C170" s="5"/>
      <x:c r="D170" s="3"/>
      <x:c r="E170" s="3"/>
      <x:c r="F170" s="3"/>
      <x:c r="G170" s="3"/>
    </x:row>
    <x:row r="171">
      <x:c r="A171" s="4"/>
      <x:c r="B171" s="3"/>
      <x:c r="C171" s="5"/>
      <x:c r="D171" s="3"/>
      <x:c r="E171" s="3"/>
      <x:c r="F171" s="3"/>
      <x:c r="G171" s="3"/>
    </x:row>
    <x:row r="172">
      <x:c r="A172" s="4"/>
      <x:c r="B172" s="3"/>
      <x:c r="C172" s="5"/>
      <x:c r="D172" s="3"/>
      <x:c r="E172" s="3"/>
      <x:c r="F172" s="3"/>
      <x:c r="G172" s="3"/>
    </x:row>
    <x:row r="173">
      <x:c r="A173" s="4"/>
      <x:c r="B173" s="3"/>
      <x:c r="C173" s="5"/>
      <x:c r="D173" s="3"/>
      <x:c r="E173" s="3"/>
      <x:c r="F173" s="3"/>
      <x:c r="G173" s="3"/>
    </x:row>
    <x:row r="174">
      <x:c r="A174" s="4"/>
      <x:c r="B174" s="3"/>
      <x:c r="C174" s="5"/>
      <x:c r="D174" s="3"/>
      <x:c r="E174" s="3"/>
      <x:c r="F174" s="3"/>
      <x:c r="G174" s="3"/>
    </x:row>
    <x:row r="175">
      <x:c r="A175" s="4"/>
      <x:c r="B175" s="3"/>
      <x:c r="C175" s="5"/>
      <x:c r="D175" s="3"/>
      <x:c r="E175" s="3"/>
      <x:c r="F175" s="3"/>
      <x:c r="G175" s="3"/>
    </x:row>
    <x:row r="176">
      <x:c r="A176" s="4"/>
      <x:c r="B176" s="3"/>
      <x:c r="C176" s="5"/>
      <x:c r="D176" s="3"/>
      <x:c r="E176" s="3"/>
      <x:c r="F176" s="3"/>
      <x:c r="G176" s="3"/>
    </x:row>
    <x:row r="177">
      <x:c r="A177" s="4"/>
      <x:c r="B177" s="3"/>
      <x:c r="C177" s="5"/>
      <x:c r="D177" s="3"/>
      <x:c r="E177" s="3"/>
      <x:c r="F177" s="3"/>
      <x:c r="G177" s="3"/>
    </x:row>
    <x:row r="178">
      <x:c r="A178" s="4"/>
      <x:c r="B178" s="3"/>
      <x:c r="C178" s="5"/>
      <x:c r="D178" s="3"/>
      <x:c r="E178" s="3"/>
      <x:c r="F178" s="3"/>
      <x:c r="G178" s="3"/>
    </x:row>
    <x:row r="179">
      <x:c r="A179" s="4"/>
      <x:c r="B179" s="3"/>
      <x:c r="C179" s="5"/>
      <x:c r="D179" s="3"/>
      <x:c r="E179" s="3"/>
      <x:c r="F179" s="3"/>
      <x:c r="G179" s="3"/>
    </x:row>
    <x:row r="180">
      <x:c r="A180" s="4"/>
      <x:c r="B180" s="3"/>
      <x:c r="C180" s="5"/>
      <x:c r="D180" s="3"/>
      <x:c r="E180" s="3"/>
      <x:c r="F180" s="3"/>
      <x:c r="G180" s="3"/>
    </x:row>
    <x:row r="181">
      <x:c r="A181" s="4"/>
      <x:c r="B181" s="3"/>
      <x:c r="C181" s="5"/>
      <x:c r="D181" s="3"/>
      <x:c r="E181" s="3"/>
      <x:c r="F181" s="3"/>
      <x:c r="G181" s="3"/>
    </x:row>
    <x:row r="182">
      <x:c r="A182" s="4"/>
      <x:c r="B182" s="3"/>
      <x:c r="C182" s="5"/>
      <x:c r="D182" s="3"/>
      <x:c r="E182" s="3"/>
      <x:c r="F182" s="3"/>
      <x:c r="G182" s="3"/>
    </x:row>
    <x:row r="183">
      <x:c r="A183" s="4"/>
      <x:c r="B183" s="3"/>
      <x:c r="C183" s="5"/>
      <x:c r="D183" s="3"/>
      <x:c r="E183" s="3"/>
      <x:c r="F183" s="3"/>
      <x:c r="G183" s="3"/>
    </x:row>
    <x:row r="184">
      <x:c r="A184" s="4"/>
      <x:c r="B184" s="3"/>
      <x:c r="C184" s="5"/>
      <x:c r="D184" s="3"/>
      <x:c r="E184" s="3"/>
      <x:c r="F184" s="3"/>
      <x:c r="G184" s="3"/>
    </x:row>
    <x:row r="185">
      <x:c r="A185" s="4"/>
      <x:c r="B185" s="3"/>
      <x:c r="C185" s="5"/>
      <x:c r="D185" s="3"/>
      <x:c r="E185" s="3"/>
      <x:c r="F185" s="3"/>
      <x:c r="G185" s="3"/>
    </x:row>
    <x:row r="186">
      <x:c r="A186" s="4"/>
      <x:c r="B186" s="3"/>
      <x:c r="C186" s="5"/>
      <x:c r="D186" s="3"/>
      <x:c r="E186" s="3"/>
      <x:c r="F186" s="3"/>
      <x:c r="G186" s="3"/>
    </x:row>
    <x:row r="187">
      <x:c r="A187" s="4"/>
      <x:c r="B187" s="3"/>
      <x:c r="C187" s="5"/>
      <x:c r="D187" s="3"/>
      <x:c r="E187" s="3"/>
      <x:c r="F187" s="3"/>
      <x:c r="G187" s="3"/>
    </x:row>
    <x:row r="188">
      <x:c r="A188" s="4"/>
      <x:c r="B188" s="3"/>
      <x:c r="C188" s="5"/>
      <x:c r="D188" s="3"/>
      <x:c r="E188" s="3"/>
      <x:c r="F188" s="3"/>
      <x:c r="G188" s="3"/>
    </x:row>
    <x:row r="189">
      <x:c r="A189" s="4"/>
      <x:c r="B189" s="3"/>
      <x:c r="C189" s="5"/>
      <x:c r="D189" s="3"/>
      <x:c r="E189" s="3"/>
      <x:c r="F189" s="3"/>
      <x:c r="G189" s="3"/>
    </x:row>
    <x:row r="190">
      <x:c r="A190" s="4"/>
      <x:c r="B190" s="3"/>
      <x:c r="C190" s="5"/>
      <x:c r="D190" s="3"/>
      <x:c r="E190" s="3"/>
      <x:c r="F190" s="3"/>
      <x:c r="G190" s="3"/>
    </x:row>
    <x:row r="191">
      <x:c r="A191" s="4"/>
      <x:c r="B191" s="3"/>
      <x:c r="C191" s="5"/>
      <x:c r="D191" s="3"/>
      <x:c r="E191" s="3"/>
      <x:c r="F191" s="3"/>
      <x:c r="G191" s="3"/>
    </x:row>
    <x:row r="192">
      <x:c r="A192" s="4"/>
      <x:c r="B192" s="3"/>
      <x:c r="C192" s="5"/>
      <x:c r="D192" s="3"/>
      <x:c r="E192" s="3"/>
      <x:c r="F192" s="3"/>
      <x:c r="G192" s="3"/>
    </x:row>
    <x:row r="193">
      <x:c r="A193" s="4"/>
      <x:c r="B193" s="3"/>
      <x:c r="C193" s="5"/>
      <x:c r="D193" s="3"/>
      <x:c r="E193" s="3"/>
      <x:c r="F193" s="3"/>
      <x:c r="G193" s="3"/>
    </x:row>
    <x:row r="194">
      <x:c r="A194" s="4"/>
      <x:c r="B194" s="3"/>
      <x:c r="C194" s="5"/>
      <x:c r="D194" s="3"/>
      <x:c r="E194" s="3"/>
      <x:c r="F194" s="3"/>
      <x:c r="G194" s="3"/>
    </x:row>
    <x:row r="195">
      <x:c r="A195" s="4"/>
      <x:c r="B195" s="3"/>
      <x:c r="C195" s="5"/>
      <x:c r="D195" s="3"/>
      <x:c r="E195" s="3"/>
      <x:c r="F195" s="3"/>
      <x:c r="G195" s="3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3" customWidth="1"/>
    <x:col min="2" max="2" width="22" customWidth="1"/>
    <x:col min="3" max="3" width="16" customWidth="1"/>
    <x:col min="4" max="4" width="34" customWidth="1"/>
    <x:col min="5" max="5" width="13" customWidth="1"/>
    <x:col min="6" max="6" width="17" customWidth="1"/>
    <x:col min="7" max="7" width="13" customWidth="1"/>
    <x:col min="8" max="8" width="15" customWidth="1"/>
    <x:col min="9" max="9" width="17" customWidth="1"/>
    <x:col min="10" max="10" width="13" customWidth="1"/>
    <x:col min="11" max="11" width="15" customWidth="1"/>
    <x:col min="12" max="12" width="17" customWidth="1"/>
    <x:col min="13" max="13" width="13" customWidth="1"/>
    <x:col min="14" max="15" width="15" customWidth="1"/>
    <x:col min="16" max="16" width="13" customWidth="1"/>
    <x:col min="17" max="17" width="34" customWidth="1"/>
  </x:cols>
  <x:sheetData>
    <x:row r="1" ht="18">
      <x:c r="A1" s="19" t="s">
        <x:v>218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 ht="14.5">
      <x:c r="A2" s="20" t="s">
        <x:v>219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 ht="28">
      <x:c r="A3" s="11" t="s">
        <x:v>199</x:v>
      </x:c>
      <x:c r="B3" s="11" t="s">
        <x:v>200</x:v>
      </x:c>
      <x:c r="C3" s="11" t="s">
        <x:v>220</x:v>
      </x:c>
      <x:c r="D3" s="11" t="s">
        <x:v>3</x:v>
      </x:c>
      <x:c r="E3" s="11" t="s">
        <x:v>221</x:v>
      </x:c>
      <x:c r="F3" s="11" t="s">
        <x:v>222</x:v>
      </x:c>
      <x:c r="G3" s="11" t="s">
        <x:v>223</x:v>
      </x:c>
      <x:c r="H3" s="11" t="s">
        <x:v>224</x:v>
      </x:c>
      <x:c r="I3" s="11" t="s">
        <x:v>225</x:v>
      </x:c>
      <x:c r="J3" s="11" t="s">
        <x:v>226</x:v>
      </x:c>
      <x:c r="K3" s="11" t="s">
        <x:v>227</x:v>
      </x:c>
      <x:c r="L3" s="11" t="s">
        <x:v>228</x:v>
      </x:c>
      <x:c r="M3" s="11" t="s">
        <x:v>229</x:v>
      </x:c>
      <x:c r="N3" s="11" t="s">
        <x:v>230</x:v>
      </x:c>
      <x:c r="O3" s="11" t="s">
        <x:v>231</x:v>
      </x:c>
      <x:c r="P3" s="11" t="s">
        <x:v>232</x:v>
      </x:c>
      <x:c r="Q3" s="11" t="s">
        <x:v>233</x:v>
      </x:c>
    </x:row>
    <x:row r="4">
      <x:c r="A4" s="12" t="n">
        <x:v>46204</x:v>
      </x:c>
      <x:c r="B4" t="str">
        <x:v>Šakotis</x:v>
      </x:c>
      <x:c r="C4" t="str">
        <x:v>L276</x:v>
      </x:c>
      <x:c r="D4" t="str">
        <x:v>Miltai</x:v>
      </x:c>
      <x:c r="E4" s="13" t="n">
        <x:v>109.19181926399999</x:v>
      </x:c>
      <x:c r="F4" t="str">
        <x:v>Mil0630</x:v>
      </x:c>
      <x:c r="G4" s="12" t="n">
        <x:v>46419</x:v>
      </x:c>
      <x:c r="H4" s="13" t="n">
        <x:v>109.19181926399999</x:v>
      </x:c>
      <x:c r="I4"/>
      <x:c r="J4" s="12"/>
      <x:c r="K4" s="13"/>
      <x:c r="L4"/>
      <x:c r="M4" s="12"/>
      <x:c r="N4" s="13"/>
      <x:c r="O4" s="13" t="n">
        <x:f t="shared" ref="O4:O35" si="0">IF($D4="","",SUM($H4,$K4,$N4))</x:f>
        <x:v>109.19181926399999</x:v>
      </x:c>
      <x:c r="P4" s="13" t="n">
        <x:f t="shared" ref="P4:P35" si="1">IF($D4="","",MAX(0,$E4-$O4))</x:f>
        <x:v>0</x:v>
      </x:c>
      <x:c r="Q4" t="str">
        <x:f t="shared" ref="Q4:Q35" si="2">IF($D4="","",IF($E4=0,"TRŪKSTA RECEPTŪROS NORMOS",IF($P4&lt;0.001,"OK","TRŪKSTA / NĖRA GALIOJANČIOS PARTIJOS")))</x:f>
        <x:v>OK</x:v>
      </x:c>
    </x:row>
    <x:row r="5">
      <x:c r="A5" s="12" t="n">
        <x:v>46204</x:v>
      </x:c>
      <x:c r="B5" t="str">
        <x:v>Šakotis</x:v>
      </x:c>
      <x:c r="C5" t="str">
        <x:v>L276</x:v>
      </x:c>
      <x:c r="D5" t="str">
        <x:v>Pienas</x:v>
      </x:c>
      <x:c r="E5" s="13" t="n">
        <x:v>40.946932224</x:v>
      </x:c>
      <x:c r="F5" t="str">
        <x:v>P0630</x:v>
      </x:c>
      <x:c r="G5" s="12" t="n">
        <x:v>46208</x:v>
      </x:c>
      <x:c r="H5" s="13" t="n">
        <x:v>40.946932224</x:v>
      </x:c>
      <x:c r="I5"/>
      <x:c r="J5" s="12"/>
      <x:c r="K5" s="13"/>
      <x:c r="L5"/>
      <x:c r="M5" s="12"/>
      <x:c r="N5" s="13"/>
      <x:c r="O5" s="13" t="n">
        <x:f t="shared" si="0"/>
        <x:v>40.946932224</x:v>
      </x:c>
      <x:c r="P5" s="13" t="n">
        <x:f t="shared" si="1"/>
        <x:v>0</x:v>
      </x:c>
      <x:c r="Q5" t="str">
        <x:f t="shared" si="2"/>
        <x:v>OK</x:v>
      </x:c>
    </x:row>
    <x:row r="6">
      <x:c r="A6" s="12" t="n">
        <x:v>46204</x:v>
      </x:c>
      <x:c r="B6" t="str">
        <x:v>Šakotis</x:v>
      </x:c>
      <x:c r="C6" t="str">
        <x:v>L276</x:v>
      </x:c>
      <x:c r="D6" t="str">
        <x:v>Kiaušiniai</x:v>
      </x:c>
      <x:c r="E6" s="13" t="n">
        <x:v>150.13864447999998</x:v>
      </x:c>
      <x:c r="F6" t="str">
        <x:v>K0630</x:v>
      </x:c>
      <x:c r="G6" s="12" t="n">
        <x:v>46218</x:v>
      </x:c>
      <x:c r="H6" s="13" t="n">
        <x:v>150.13864447999998</x:v>
      </x:c>
      <x:c r="I6"/>
      <x:c r="J6" s="12"/>
      <x:c r="K6" s="13"/>
      <x:c r="L6"/>
      <x:c r="M6" s="12"/>
      <x:c r="N6" s="13"/>
      <x:c r="O6" s="13" t="n">
        <x:f t="shared" si="0"/>
        <x:v>150.13864447999998</x:v>
      </x:c>
      <x:c r="P6" s="13" t="n">
        <x:f t="shared" si="1"/>
        <x:v>0</x:v>
      </x:c>
      <x:c r="Q6" t="str">
        <x:f t="shared" si="2"/>
        <x:v>OK</x:v>
      </x:c>
    </x:row>
    <x:row r="7">
      <x:c r="A7" s="12" t="n">
        <x:v>46204</x:v>
      </x:c>
      <x:c r="B7" t="str">
        <x:v>Šakotis</x:v>
      </x:c>
      <x:c r="C7" t="str">
        <x:v>L276</x:v>
      </x:c>
      <x:c r="D7" t="str">
        <x:v>Cukrus</x:v>
      </x:c>
      <x:c r="E7" s="13" t="n">
        <x:v>81.893864448</x:v>
      </x:c>
      <x:c r="F7" t="str">
        <x:v>Cuk0630</x:v>
      </x:c>
      <x:c r="G7" s="12" t="n">
        <x:v>46388</x:v>
      </x:c>
      <x:c r="H7" s="13" t="n">
        <x:v>81.893864448</x:v>
      </x:c>
      <x:c r="I7"/>
      <x:c r="J7" s="12"/>
      <x:c r="K7" s="13"/>
      <x:c r="L7"/>
      <x:c r="M7" s="12"/>
      <x:c r="N7" s="13"/>
      <x:c r="O7" s="13" t="n">
        <x:f t="shared" si="0"/>
        <x:v>81.893864448</x:v>
      </x:c>
      <x:c r="P7" s="13" t="n">
        <x:f t="shared" si="1"/>
        <x:v>0</x:v>
      </x:c>
      <x:c r="Q7" t="str">
        <x:f t="shared" si="2"/>
        <x:v>OK</x:v>
      </x:c>
    </x:row>
    <x:row r="8">
      <x:c r="A8" s="12" t="n">
        <x:v>46204</x:v>
      </x:c>
      <x:c r="B8" t="str">
        <x:v>Šakotis</x:v>
      </x:c>
      <x:c r="C8" t="str">
        <x:v>L276</x:v>
      </x:c>
      <x:c r="D8" t="str">
        <x:v>Margarinas Šakočiui "Alvas"</x:v>
      </x:c>
      <x:c r="E8" s="13" t="n">
        <x:v>81.893864448</x:v>
      </x:c>
      <x:c r="F8" t="str">
        <x:v>MarA0630</x:v>
      </x:c>
      <x:c r="G8" s="12" t="n">
        <x:v>46306</x:v>
      </x:c>
      <x:c r="H8" s="13" t="n">
        <x:v>81.893864448</x:v>
      </x:c>
      <x:c r="I8"/>
      <x:c r="J8" s="12"/>
      <x:c r="K8" s="13"/>
      <x:c r="L8"/>
      <x:c r="M8" s="12"/>
      <x:c r="N8" s="13"/>
      <x:c r="O8" s="13" t="n">
        <x:f t="shared" si="0"/>
        <x:v>81.893864448</x:v>
      </x:c>
      <x:c r="P8" s="13" t="n">
        <x:f t="shared" si="1"/>
        <x:v>0</x:v>
      </x:c>
      <x:c r="Q8" t="str">
        <x:f t="shared" si="2"/>
        <x:v>OK</x:v>
      </x:c>
    </x:row>
    <x:row r="9">
      <x:c r="A9" s="12" t="n">
        <x:v>46204</x:v>
      </x:c>
      <x:c r="B9" t="str">
        <x:v>Šakotis</x:v>
      </x:c>
      <x:c r="C9" t="str">
        <x:v>L276</x:v>
      </x:c>
      <x:c r="D9" t="str">
        <x:v>Kvapnioji medžiaga</x:v>
      </x:c>
      <x:c r="E9" s="13" t="n">
        <x:v>0.272977408</x:v>
      </x:c>
      <x:c r="F9" t="str">
        <x:v>Kvp0630</x:v>
      </x:c>
      <x:c r="G9" s="12" t="n">
        <x:v>46388</x:v>
      </x:c>
      <x:c r="H9" s="13" t="n">
        <x:v>0.272977408</x:v>
      </x:c>
      <x:c r="I9"/>
      <x:c r="J9" s="12"/>
      <x:c r="K9" s="13"/>
      <x:c r="L9"/>
      <x:c r="M9" s="12"/>
      <x:c r="N9" s="13"/>
      <x:c r="O9" s="13" t="n">
        <x:f t="shared" si="0"/>
        <x:v>0.272977408</x:v>
      </x:c>
      <x:c r="P9" s="13" t="n">
        <x:f t="shared" si="1"/>
        <x:v>0</x:v>
      </x:c>
      <x:c r="Q9" t="str">
        <x:f t="shared" si="2"/>
        <x:v>OK</x:v>
      </x:c>
    </x:row>
    <x:row r="10">
      <x:c r="A10" s="12" t="n">
        <x:v>46204</x:v>
      </x:c>
      <x:c r="B10" t="str">
        <x:v>Šakotis</x:v>
      </x:c>
      <x:c r="C10" t="str">
        <x:v>L276</x:v>
      </x:c>
      <x:c r="D10" t="str">
        <x:v>Ciberžolė</x:v>
      </x:c>
      <x:c r="E10" s="13" t="n">
        <x:v>0.955420928</x:v>
      </x:c>
      <x:c r="F10" t="str">
        <x:v>Cib0630</x:v>
      </x:c>
      <x:c r="G10" s="12" t="n">
        <x:v>46573</x:v>
      </x:c>
      <x:c r="H10" s="13" t="n">
        <x:v>0.955420928</x:v>
      </x:c>
      <x:c r="I10"/>
      <x:c r="J10" s="12"/>
      <x:c r="K10" s="13"/>
      <x:c r="L10"/>
      <x:c r="M10" s="12"/>
      <x:c r="N10" s="13"/>
      <x:c r="O10" s="13" t="n">
        <x:f t="shared" si="0"/>
        <x:v>0.955420928</x:v>
      </x:c>
      <x:c r="P10" s="13" t="n">
        <x:f t="shared" si="1"/>
        <x:v>0</x:v>
      </x:c>
      <x:c r="Q10" t="str">
        <x:f t="shared" si="2"/>
        <x:v>OK</x:v>
      </x:c>
    </x:row>
    <x:row r="11">
      <x:c r="A11" s="12" t="n">
        <x:v>46204</x:v>
      </x:c>
      <x:c r="B11" t="str">
        <x:v>Šakotis</x:v>
      </x:c>
      <x:c r="C11" t="str">
        <x:v>L276</x:v>
      </x:c>
      <x:c r="D11" t="str">
        <x:v>Vanduo</x:v>
      </x:c>
      <x:c r="E11" s="13" t="n">
        <x:v>13.646462719999999</x:v>
      </x:c>
      <x:c r="F11" t="str">
        <x:v>Netaikoma</x:v>
      </x:c>
      <x:c r="G11" s="12"/>
      <x:c r="H11" s="13" t="n">
        <x:v>13.646462719999999</x:v>
      </x:c>
      <x:c r="I11"/>
      <x:c r="J11" s="12"/>
      <x:c r="K11" s="13"/>
      <x:c r="L11"/>
      <x:c r="M11" s="12"/>
      <x:c r="N11" s="13"/>
      <x:c r="O11" s="13" t="n">
        <x:f t="shared" si="0"/>
        <x:v>13.646462719999999</x:v>
      </x:c>
      <x:c r="P11" s="13" t="n">
        <x:f t="shared" si="1"/>
        <x:v>0</x:v>
      </x:c>
      <x:c r="Q11" t="str">
        <x:f t="shared" si="2"/>
        <x:v>OK</x:v>
      </x:c>
    </x:row>
    <x:row r="12">
      <x:c r="A12" s="12" t="n">
        <x:v>46204</x:v>
      </x:c>
      <x:c r="B12" t="str">
        <x:v>Trapus šakotis</x:v>
      </x:c>
      <x:c r="C12" t="str">
        <x:v>L276</x:v>
      </x:c>
      <x:c r="D12" t="str">
        <x:v>Miltai</x:v>
      </x:c>
      <x:c r="E12" s="13" t="n">
        <x:v>69.9999888</x:v>
      </x:c>
      <x:c r="F12" t="str">
        <x:v>Mil0630</x:v>
      </x:c>
      <x:c r="G12" s="12" t="n">
        <x:v>46419</x:v>
      </x:c>
      <x:c r="H12" s="13" t="n">
        <x:v>69.9999888</x:v>
      </x:c>
      <x:c r="I12"/>
      <x:c r="J12" s="12"/>
      <x:c r="K12" s="13"/>
      <x:c r="L12"/>
      <x:c r="M12" s="12"/>
      <x:c r="N12" s="13"/>
      <x:c r="O12" s="13" t="n">
        <x:f t="shared" si="0"/>
        <x:v>69.9999888</x:v>
      </x:c>
      <x:c r="P12" s="13" t="n">
        <x:f t="shared" si="1"/>
        <x:v>0</x:v>
      </x:c>
      <x:c r="Q12" t="str">
        <x:f t="shared" si="2"/>
        <x:v>OK</x:v>
      </x:c>
    </x:row>
    <x:row r="13">
      <x:c r="A13" s="12" t="n">
        <x:v>46204</x:v>
      </x:c>
      <x:c r="B13" t="str">
        <x:v>Trapus šakotis</x:v>
      </x:c>
      <x:c r="C13" t="str">
        <x:v>L276</x:v>
      </x:c>
      <x:c r="D13" t="str">
        <x:v>Grietinės mišinys</x:v>
      </x:c>
      <x:c r="E13" s="13" t="n">
        <x:v>50.39999467999999</x:v>
      </x:c>
      <x:c r="F13" t="str">
        <x:v>Gr0630</x:v>
      </x:c>
      <x:c r="G13" s="12" t="n">
        <x:v>46208</x:v>
      </x:c>
      <x:c r="H13" s="13" t="n">
        <x:v>50.39999467999999</x:v>
      </x:c>
      <x:c r="I13"/>
      <x:c r="J13" s="12"/>
      <x:c r="K13" s="13"/>
      <x:c r="L13"/>
      <x:c r="M13" s="12"/>
      <x:c r="N13" s="13"/>
      <x:c r="O13" s="13" t="n">
        <x:f t="shared" si="0"/>
        <x:v>50.39999467999999</x:v>
      </x:c>
      <x:c r="P13" s="13" t="n">
        <x:f t="shared" si="1"/>
        <x:v>0</x:v>
      </x:c>
      <x:c r="Q13" t="str">
        <x:f t="shared" si="2"/>
        <x:v>OK</x:v>
      </x:c>
    </x:row>
    <x:row r="14">
      <x:c r="A14" s="12" t="n">
        <x:v>46204</x:v>
      </x:c>
      <x:c r="B14" t="str">
        <x:v>Trapus šakotis</x:v>
      </x:c>
      <x:c r="C14" t="str">
        <x:v>L276</x:v>
      </x:c>
      <x:c r="D14" t="str">
        <x:v>Kiaušiniai</x:v>
      </x:c>
      <x:c r="E14" s="13" t="n">
        <x:v>69.9999888</x:v>
      </x:c>
      <x:c r="F14" t="str">
        <x:v>K0630</x:v>
      </x:c>
      <x:c r="G14" s="12" t="n">
        <x:v>46218</x:v>
      </x:c>
      <x:c r="H14" s="13" t="n">
        <x:v>69.9999888</x:v>
      </x:c>
      <x:c r="I14"/>
      <x:c r="J14" s="12"/>
      <x:c r="K14" s="13"/>
      <x:c r="L14"/>
      <x:c r="M14" s="12"/>
      <x:c r="N14" s="13"/>
      <x:c r="O14" s="13" t="n">
        <x:f t="shared" si="0"/>
        <x:v>69.9999888</x:v>
      </x:c>
      <x:c r="P14" s="13" t="n">
        <x:f t="shared" si="1"/>
        <x:v>0</x:v>
      </x:c>
      <x:c r="Q14" t="str">
        <x:f t="shared" si="2"/>
        <x:v>OK</x:v>
      </x:c>
    </x:row>
    <x:row r="15">
      <x:c r="A15" s="12" t="n">
        <x:v>46204</x:v>
      </x:c>
      <x:c r="B15" t="str">
        <x:v>Trapus šakotis</x:v>
      </x:c>
      <x:c r="C15" t="str">
        <x:v>L276</x:v>
      </x:c>
      <x:c r="D15" t="str">
        <x:v>Cukrus</x:v>
      </x:c>
      <x:c r="E15" s="13" t="n">
        <x:v>41.99999328</x:v>
      </x:c>
      <x:c r="F15" t="str">
        <x:v>Cuk0630</x:v>
      </x:c>
      <x:c r="G15" s="12" t="n">
        <x:v>46388</x:v>
      </x:c>
      <x:c r="H15" s="13" t="n">
        <x:v>41.99999328</x:v>
      </x:c>
      <x:c r="I15"/>
      <x:c r="J15" s="12"/>
      <x:c r="K15" s="13"/>
      <x:c r="L15"/>
      <x:c r="M15" s="12"/>
      <x:c r="N15" s="13"/>
      <x:c r="O15" s="13" t="n">
        <x:f t="shared" si="0"/>
        <x:v>41.99999328</x:v>
      </x:c>
      <x:c r="P15" s="13" t="n">
        <x:f t="shared" si="1"/>
        <x:v>0</x:v>
      </x:c>
      <x:c r="Q15" t="str">
        <x:f t="shared" si="2"/>
        <x:v>OK</x:v>
      </x:c>
    </x:row>
    <x:row r="16">
      <x:c r="A16" s="12" t="n">
        <x:v>46204</x:v>
      </x:c>
      <x:c r="B16" t="str">
        <x:v>Trapus šakotis</x:v>
      </x:c>
      <x:c r="C16" t="str">
        <x:v>L276</x:v>
      </x:c>
      <x:c r="D16" t="str">
        <x:v>Margarinas trapiam "IEVA"</x:v>
      </x:c>
      <x:c r="E16" s="13" t="n">
        <x:v>49.55993279999999</x:v>
      </x:c>
      <x:c r="F16" t="str">
        <x:v>MarI0630</x:v>
      </x:c>
      <x:c r="G16" s="12" t="n">
        <x:v>46336</x:v>
      </x:c>
      <x:c r="H16" s="13" t="n">
        <x:v>49.55993279999999</x:v>
      </x:c>
      <x:c r="I16"/>
      <x:c r="J16" s="12"/>
      <x:c r="K16" s="13"/>
      <x:c r="L16"/>
      <x:c r="M16" s="12"/>
      <x:c r="N16" s="13"/>
      <x:c r="O16" s="13" t="n">
        <x:f t="shared" si="0"/>
        <x:v>49.55993279999999</x:v>
      </x:c>
      <x:c r="P16" s="13" t="n">
        <x:f t="shared" si="1"/>
        <x:v>0</x:v>
      </x:c>
      <x:c r="Q16" t="str">
        <x:f t="shared" si="2"/>
        <x:v>OK</x:v>
      </x:c>
    </x:row>
    <x:row r="17">
      <x:c r="A17" s="12" t="n">
        <x:v>46204</x:v>
      </x:c>
      <x:c r="B17" t="str">
        <x:v>Trapus šakotis</x:v>
      </x:c>
      <x:c r="C17" t="str">
        <x:v>L276</x:v>
      </x:c>
      <x:c r="D17"/>
      <x:c r="E17" s="13"/>
      <x:c r="F17"/>
      <x:c r="G17" s="12"/>
      <x:c r="H17" s="13"/>
      <x:c r="I17"/>
      <x:c r="J17" s="12"/>
      <x:c r="K17" s="13"/>
      <x:c r="L17"/>
      <x:c r="M17" s="12"/>
      <x:c r="N17" s="13"/>
      <x:c r="O17" s="13">
        <x:f t="shared" si="0"/>
      </x:c>
      <x:c r="P17" s="13">
        <x:f t="shared" si="1"/>
      </x:c>
      <x:c r="Q17">
        <x:f t="shared" si="2"/>
      </x:c>
    </x:row>
    <x:row r="18">
      <x:c r="A18" s="12" t="n">
        <x:v>46204</x:v>
      </x:c>
      <x:c r="B18" t="str">
        <x:v>Trapus šakotis</x:v>
      </x:c>
      <x:c r="C18" t="str">
        <x:v>L276</x:v>
      </x:c>
      <x:c r="D18"/>
      <x:c r="E18" s="13"/>
      <x:c r="F18"/>
      <x:c r="G18" s="12"/>
      <x:c r="H18" s="13"/>
      <x:c r="I18"/>
      <x:c r="J18" s="12"/>
      <x:c r="K18" s="13"/>
      <x:c r="L18"/>
      <x:c r="M18" s="12"/>
      <x:c r="N18" s="13"/>
      <x:c r="O18" s="13">
        <x:f t="shared" si="0"/>
      </x:c>
      <x:c r="P18" s="13">
        <x:f t="shared" si="1"/>
      </x:c>
      <x:c r="Q18">
        <x:f t="shared" si="2"/>
      </x:c>
    </x:row>
    <x:row r="19">
      <x:c r="A19" s="12" t="n">
        <x:v>46204</x:v>
      </x:c>
      <x:c r="B19" t="str">
        <x:v>Trapus šakotis</x:v>
      </x:c>
      <x:c r="C19" t="str">
        <x:v>L276</x:v>
      </x:c>
      <x:c r="D19"/>
      <x:c r="E19" s="13"/>
      <x:c r="F19"/>
      <x:c r="G19" s="12"/>
      <x:c r="H19" s="13"/>
      <x:c r="I19"/>
      <x:c r="J19" s="12"/>
      <x:c r="K19" s="13"/>
      <x:c r="L19"/>
      <x:c r="M19" s="12"/>
      <x:c r="N19" s="13"/>
      <x:c r="O19" s="13">
        <x:f t="shared" si="0"/>
      </x:c>
      <x:c r="P19" s="13">
        <x:f t="shared" si="1"/>
      </x:c>
      <x:c r="Q19">
        <x:f t="shared" si="2"/>
      </x:c>
    </x:row>
    <x:row r="20">
      <x:c r="A20" s="12" t="n">
        <x:v>46205</x:v>
      </x:c>
      <x:c r="B20" t="str">
        <x:v>Šakotis</x:v>
      </x:c>
      <x:c r="C20" t="str">
        <x:v>L276</x:v>
      </x:c>
      <x:c r="D20" t="str">
        <x:v>Miltai</x:v>
      </x:c>
      <x:c r="E20" s="13" t="n">
        <x:v>114.39998169599998</x:v>
      </x:c>
      <x:c r="F20" t="str">
        <x:v>Mil0630</x:v>
      </x:c>
      <x:c r="G20" s="12" t="n">
        <x:v>46419</x:v>
      </x:c>
      <x:c r="H20" s="13" t="n">
        <x:v>114.39998169599998</x:v>
      </x:c>
      <x:c r="I20"/>
      <x:c r="J20" s="12"/>
      <x:c r="K20" s="13"/>
      <x:c r="L20"/>
      <x:c r="M20" s="12"/>
      <x:c r="N20" s="13"/>
      <x:c r="O20" s="13" t="n">
        <x:f t="shared" si="0"/>
        <x:v>114.39998169599998</x:v>
      </x:c>
      <x:c r="P20" s="13" t="n">
        <x:f t="shared" si="1"/>
        <x:v>0</x:v>
      </x:c>
      <x:c r="Q20" t="str">
        <x:f t="shared" si="2"/>
        <x:v>OK</x:v>
      </x:c>
    </x:row>
    <x:row r="21">
      <x:c r="A21" s="12" t="n">
        <x:v>46205</x:v>
      </x:c>
      <x:c r="B21" t="str">
        <x:v>Šakotis</x:v>
      </x:c>
      <x:c r="C21" t="str">
        <x:v>L276</x:v>
      </x:c>
      <x:c r="D21" t="str">
        <x:v>Pienas</x:v>
      </x:c>
      <x:c r="E21" s="13" t="n">
        <x:v>42.899993136</x:v>
      </x:c>
      <x:c r="F21" t="str">
        <x:v>P0630</x:v>
      </x:c>
      <x:c r="G21" s="12" t="n">
        <x:v>46208</x:v>
      </x:c>
      <x:c r="H21" s="13" t="n">
        <x:v>42.899993136</x:v>
      </x:c>
      <x:c r="I21"/>
      <x:c r="J21" s="12"/>
      <x:c r="K21" s="13"/>
      <x:c r="L21"/>
      <x:c r="M21" s="12"/>
      <x:c r="N21" s="13"/>
      <x:c r="O21" s="13" t="n">
        <x:f t="shared" si="0"/>
        <x:v>42.899993136</x:v>
      </x:c>
      <x:c r="P21" s="13" t="n">
        <x:f t="shared" si="1"/>
        <x:v>0</x:v>
      </x:c>
      <x:c r="Q21" t="str">
        <x:f t="shared" si="2"/>
        <x:v>OK</x:v>
      </x:c>
    </x:row>
    <x:row r="22">
      <x:c r="A22" s="12" t="n">
        <x:v>46205</x:v>
      </x:c>
      <x:c r="B22" t="str">
        <x:v>Šakotis</x:v>
      </x:c>
      <x:c r="C22" t="str">
        <x:v>L276</x:v>
      </x:c>
      <x:c r="D22" t="str">
        <x:v>Kiaušiniai</x:v>
      </x:c>
      <x:c r="E22" s="13" t="n">
        <x:v>157.29986271999996</x:v>
      </x:c>
      <x:c r="F22" t="str">
        <x:v>K0630</x:v>
      </x:c>
      <x:c r="G22" s="12" t="n">
        <x:v>46218</x:v>
      </x:c>
      <x:c r="H22" s="13" t="n">
        <x:v>157.29986271999996</x:v>
      </x:c>
      <x:c r="I22"/>
      <x:c r="J22" s="12"/>
      <x:c r="K22" s="13"/>
      <x:c r="L22"/>
      <x:c r="M22" s="12"/>
      <x:c r="N22" s="13"/>
      <x:c r="O22" s="13" t="n">
        <x:f t="shared" si="0"/>
        <x:v>157.29986271999996</x:v>
      </x:c>
      <x:c r="P22" s="13" t="n">
        <x:f t="shared" si="1"/>
        <x:v>0</x:v>
      </x:c>
      <x:c r="Q22" t="str">
        <x:f t="shared" si="2"/>
        <x:v>OK</x:v>
      </x:c>
    </x:row>
    <x:row r="23">
      <x:c r="A23" s="12" t="n">
        <x:v>46205</x:v>
      </x:c>
      <x:c r="B23" t="str">
        <x:v>Šakotis</x:v>
      </x:c>
      <x:c r="C23" t="str">
        <x:v>L276</x:v>
      </x:c>
      <x:c r="D23" t="str">
        <x:v>Cukrus</x:v>
      </x:c>
      <x:c r="E23" s="13" t="n">
        <x:v>85.799986272</x:v>
      </x:c>
      <x:c r="F23" t="str">
        <x:v>Cuk0630</x:v>
      </x:c>
      <x:c r="G23" s="12" t="n">
        <x:v>46388</x:v>
      </x:c>
      <x:c r="H23" s="13" t="n">
        <x:v>85.799986272</x:v>
      </x:c>
      <x:c r="I23"/>
      <x:c r="J23" s="12"/>
      <x:c r="K23" s="13"/>
      <x:c r="L23"/>
      <x:c r="M23" s="12"/>
      <x:c r="N23" s="13"/>
      <x:c r="O23" s="13" t="n">
        <x:f t="shared" si="0"/>
        <x:v>85.799986272</x:v>
      </x:c>
      <x:c r="P23" s="13" t="n">
        <x:f t="shared" si="1"/>
        <x:v>0</x:v>
      </x:c>
      <x:c r="Q23" t="str">
        <x:f t="shared" si="2"/>
        <x:v>OK</x:v>
      </x:c>
    </x:row>
    <x:row r="24">
      <x:c r="A24" s="12" t="n">
        <x:v>46205</x:v>
      </x:c>
      <x:c r="B24" t="str">
        <x:v>Šakotis</x:v>
      </x:c>
      <x:c r="C24" t="str">
        <x:v>L276</x:v>
      </x:c>
      <x:c r="D24" t="str">
        <x:v>Margarinas Šakočiui "Alvas"</x:v>
      </x:c>
      <x:c r="E24" s="13" t="n">
        <x:v>85.799986272</x:v>
      </x:c>
      <x:c r="F24" t="str">
        <x:v>MarA0630</x:v>
      </x:c>
      <x:c r="G24" s="12" t="n">
        <x:v>46306</x:v>
      </x:c>
      <x:c r="H24" s="13" t="n">
        <x:v>85.799986272</x:v>
      </x:c>
      <x:c r="I24"/>
      <x:c r="J24" s="12"/>
      <x:c r="K24" s="13"/>
      <x:c r="L24"/>
      <x:c r="M24" s="12"/>
      <x:c r="N24" s="13"/>
      <x:c r="O24" s="13" t="n">
        <x:f t="shared" si="0"/>
        <x:v>85.799986272</x:v>
      </x:c>
      <x:c r="P24" s="13" t="n">
        <x:f t="shared" si="1"/>
        <x:v>0</x:v>
      </x:c>
      <x:c r="Q24" t="str">
        <x:f t="shared" si="2"/>
        <x:v>OK</x:v>
      </x:c>
    </x:row>
    <x:row r="25">
      <x:c r="A25" s="12" t="n">
        <x:v>46205</x:v>
      </x:c>
      <x:c r="B25" t="str">
        <x:v>Šakotis</x:v>
      </x:c>
      <x:c r="C25" t="str">
        <x:v>L276</x:v>
      </x:c>
      <x:c r="D25" t="str">
        <x:v>Kvapnioji medžiaga</x:v>
      </x:c>
      <x:c r="E25" s="13" t="n">
        <x:v>0.285997712</x:v>
      </x:c>
      <x:c r="F25" t="str">
        <x:v>Kvp0630</x:v>
      </x:c>
      <x:c r="G25" s="12" t="n">
        <x:v>46388</x:v>
      </x:c>
      <x:c r="H25" s="13" t="n">
        <x:v>0.285997712</x:v>
      </x:c>
      <x:c r="I25"/>
      <x:c r="J25" s="12"/>
      <x:c r="K25" s="13"/>
      <x:c r="L25"/>
      <x:c r="M25" s="12"/>
      <x:c r="N25" s="13"/>
      <x:c r="O25" s="13" t="n">
        <x:f t="shared" si="0"/>
        <x:v>0.285997712</x:v>
      </x:c>
      <x:c r="P25" s="13" t="n">
        <x:f t="shared" si="1"/>
        <x:v>0</x:v>
      </x:c>
      <x:c r="Q25" t="str">
        <x:f t="shared" si="2"/>
        <x:v>OK</x:v>
      </x:c>
    </x:row>
    <x:row r="26">
      <x:c r="A26" s="12" t="n">
        <x:v>46205</x:v>
      </x:c>
      <x:c r="B26" t="str">
        <x:v>Šakotis</x:v>
      </x:c>
      <x:c r="C26" t="str">
        <x:v>L276</x:v>
      </x:c>
      <x:c r="D26" t="str">
        <x:v>Ciberžolė</x:v>
      </x:c>
      <x:c r="E26" s="13" t="n">
        <x:v>1.0009919919999999</x:v>
      </x:c>
      <x:c r="F26" t="str">
        <x:v>Cib0630</x:v>
      </x:c>
      <x:c r="G26" s="12" t="n">
        <x:v>46573</x:v>
      </x:c>
      <x:c r="H26" s="13" t="n">
        <x:v>1.0009919919999999</x:v>
      </x:c>
      <x:c r="I26"/>
      <x:c r="J26" s="12"/>
      <x:c r="K26" s="13"/>
      <x:c r="L26"/>
      <x:c r="M26" s="12"/>
      <x:c r="N26" s="13"/>
      <x:c r="O26" s="13" t="n">
        <x:f t="shared" si="0"/>
        <x:v>1.0009919919999999</x:v>
      </x:c>
      <x:c r="P26" s="13" t="n">
        <x:f t="shared" si="1"/>
        <x:v>0</x:v>
      </x:c>
      <x:c r="Q26" t="str">
        <x:f t="shared" si="2"/>
        <x:v>OK</x:v>
      </x:c>
    </x:row>
    <x:row r="27">
      <x:c r="A27" s="12" t="n">
        <x:v>46205</x:v>
      </x:c>
      <x:c r="B27" t="str">
        <x:v>Šakotis</x:v>
      </x:c>
      <x:c r="C27" t="str">
        <x:v>L276</x:v>
      </x:c>
      <x:c r="D27" t="str">
        <x:v>Vanduo</x:v>
      </x:c>
      <x:c r="E27" s="13" t="n">
        <x:v>14.297363079999998</x:v>
      </x:c>
      <x:c r="F27" t="str">
        <x:v>Netaikoma</x:v>
      </x:c>
      <x:c r="G27" s="12"/>
      <x:c r="H27" s="13" t="n">
        <x:v>14.297363079999998</x:v>
      </x:c>
      <x:c r="I27"/>
      <x:c r="J27" s="12"/>
      <x:c r="K27" s="13"/>
      <x:c r="L27"/>
      <x:c r="M27" s="12"/>
      <x:c r="N27" s="13"/>
      <x:c r="O27" s="13" t="n">
        <x:f t="shared" si="0"/>
        <x:v>14.297363079999998</x:v>
      </x:c>
      <x:c r="P27" s="13" t="n">
        <x:f t="shared" si="1"/>
        <x:v>0</x:v>
      </x:c>
      <x:c r="Q27" t="str">
        <x:f t="shared" si="2"/>
        <x:v>OK</x:v>
      </x:c>
    </x:row>
    <x:row r="28">
      <x:c r="A28" s="12" t="n">
        <x:v>46205</x:v>
      </x:c>
      <x:c r="B28" t="str">
        <x:v>Trapus šakotis</x:v>
      </x:c>
      <x:c r="C28" t="str">
        <x:v>L276</x:v>
      </x:c>
      <x:c r="D28" t="str">
        <x:v>Miltai</x:v>
      </x:c>
      <x:c r="E28" s="13" t="n">
        <x:v>72.49998839999999</x:v>
      </x:c>
      <x:c r="F28" t="str">
        <x:v>Mil0630</x:v>
      </x:c>
      <x:c r="G28" s="12" t="n">
        <x:v>46419</x:v>
      </x:c>
      <x:c r="H28" s="13" t="n">
        <x:v>72.49998839999999</x:v>
      </x:c>
      <x:c r="I28"/>
      <x:c r="J28" s="12"/>
      <x:c r="K28" s="13"/>
      <x:c r="L28"/>
      <x:c r="M28" s="12"/>
      <x:c r="N28" s="13"/>
      <x:c r="O28" s="13" t="n">
        <x:f t="shared" si="0"/>
        <x:v>72.49998839999999</x:v>
      </x:c>
      <x:c r="P28" s="13" t="n">
        <x:f t="shared" si="1"/>
        <x:v>0</x:v>
      </x:c>
      <x:c r="Q28" t="str">
        <x:f t="shared" si="2"/>
        <x:v>OK</x:v>
      </x:c>
    </x:row>
    <x:row r="29">
      <x:c r="A29" s="12" t="n">
        <x:v>46205</x:v>
      </x:c>
      <x:c r="B29" t="str">
        <x:v>Trapus šakotis</x:v>
      </x:c>
      <x:c r="C29" t="str">
        <x:v>L276</x:v>
      </x:c>
      <x:c r="D29" t="str">
        <x:v>Grietinės mišinys</x:v>
      </x:c>
      <x:c r="E29" s="13" t="n">
        <x:v>52.199994489999995</x:v>
      </x:c>
      <x:c r="F29" t="str">
        <x:v>Gr0630</x:v>
      </x:c>
      <x:c r="G29" s="12" t="n">
        <x:v>46208</x:v>
      </x:c>
      <x:c r="H29" s="13" t="n">
        <x:v>52.199994489999995</x:v>
      </x:c>
      <x:c r="I29"/>
      <x:c r="J29" s="12"/>
      <x:c r="K29" s="13"/>
      <x:c r="L29"/>
      <x:c r="M29" s="12"/>
      <x:c r="N29" s="13"/>
      <x:c r="O29" s="13" t="n">
        <x:f t="shared" si="0"/>
        <x:v>52.199994489999995</x:v>
      </x:c>
      <x:c r="P29" s="13" t="n">
        <x:f t="shared" si="1"/>
        <x:v>0</x:v>
      </x:c>
      <x:c r="Q29" t="str">
        <x:f t="shared" si="2"/>
        <x:v>OK</x:v>
      </x:c>
    </x:row>
    <x:row r="30">
      <x:c r="A30" s="12" t="n">
        <x:v>46205</x:v>
      </x:c>
      <x:c r="B30" t="str">
        <x:v>Trapus šakotis</x:v>
      </x:c>
      <x:c r="C30" t="str">
        <x:v>L276</x:v>
      </x:c>
      <x:c r="D30" t="str">
        <x:v>Kiaušiniai</x:v>
      </x:c>
      <x:c r="E30" s="13" t="n">
        <x:v>72.49998839999999</x:v>
      </x:c>
      <x:c r="F30" t="str">
        <x:v>K0630</x:v>
      </x:c>
      <x:c r="G30" s="12" t="n">
        <x:v>46218</x:v>
      </x:c>
      <x:c r="H30" s="13" t="n">
        <x:v>72.49998839999999</x:v>
      </x:c>
      <x:c r="I30"/>
      <x:c r="J30" s="12"/>
      <x:c r="K30" s="13"/>
      <x:c r="L30"/>
      <x:c r="M30" s="12"/>
      <x:c r="N30" s="13"/>
      <x:c r="O30" s="13" t="n">
        <x:f t="shared" si="0"/>
        <x:v>72.49998839999999</x:v>
      </x:c>
      <x:c r="P30" s="13" t="n">
        <x:f t="shared" si="1"/>
        <x:v>0</x:v>
      </x:c>
      <x:c r="Q30" t="str">
        <x:f t="shared" si="2"/>
        <x:v>OK</x:v>
      </x:c>
    </x:row>
    <x:row r="31">
      <x:c r="A31" s="12" t="n">
        <x:v>46205</x:v>
      </x:c>
      <x:c r="B31" t="str">
        <x:v>Trapus šakotis</x:v>
      </x:c>
      <x:c r="C31" t="str">
        <x:v>L276</x:v>
      </x:c>
      <x:c r="D31" t="str">
        <x:v>Cukrus</x:v>
      </x:c>
      <x:c r="E31" s="13" t="n">
        <x:v>43.49999304</x:v>
      </x:c>
      <x:c r="F31" t="str">
        <x:v>Cuk0630</x:v>
      </x:c>
      <x:c r="G31" s="12" t="n">
        <x:v>46388</x:v>
      </x:c>
      <x:c r="H31" s="13" t="n">
        <x:v>43.49999304</x:v>
      </x:c>
      <x:c r="I31"/>
      <x:c r="J31" s="12"/>
      <x:c r="K31" s="13"/>
      <x:c r="L31"/>
      <x:c r="M31" s="12"/>
      <x:c r="N31" s="13"/>
      <x:c r="O31" s="13" t="n">
        <x:f t="shared" si="0"/>
        <x:v>43.49999304</x:v>
      </x:c>
      <x:c r="P31" s="13" t="n">
        <x:f t="shared" si="1"/>
        <x:v>0</x:v>
      </x:c>
      <x:c r="Q31" t="str">
        <x:f t="shared" si="2"/>
        <x:v>OK</x:v>
      </x:c>
    </x:row>
    <x:row r="32">
      <x:c r="A32" s="12" t="n">
        <x:v>46205</x:v>
      </x:c>
      <x:c r="B32" t="str">
        <x:v>Trapus šakotis</x:v>
      </x:c>
      <x:c r="C32" t="str">
        <x:v>L276</x:v>
      </x:c>
      <x:c r="D32" t="str">
        <x:v>Margarinas trapiam "IEVA"</x:v>
      </x:c>
      <x:c r="E32" s="13" t="n">
        <x:v>51.329930399999995</x:v>
      </x:c>
      <x:c r="F32" t="str">
        <x:v>MarI0630</x:v>
      </x:c>
      <x:c r="G32" s="12" t="n">
        <x:v>46336</x:v>
      </x:c>
      <x:c r="H32" s="13" t="n">
        <x:v>51.329930399999995</x:v>
      </x:c>
      <x:c r="I32"/>
      <x:c r="J32" s="12"/>
      <x:c r="K32" s="13"/>
      <x:c r="L32"/>
      <x:c r="M32" s="12"/>
      <x:c r="N32" s="13"/>
      <x:c r="O32" s="13" t="n">
        <x:f t="shared" si="0"/>
        <x:v>51.329930399999995</x:v>
      </x:c>
      <x:c r="P32" s="13" t="n">
        <x:f t="shared" si="1"/>
        <x:v>0</x:v>
      </x:c>
      <x:c r="Q32" t="str">
        <x:f t="shared" si="2"/>
        <x:v>OK</x:v>
      </x:c>
    </x:row>
    <x:row r="33">
      <x:c r="A33" s="12" t="n">
        <x:v>46205</x:v>
      </x:c>
      <x:c r="B33" t="str">
        <x:v>Trapus šakotis</x:v>
      </x:c>
      <x:c r="C33" t="str">
        <x:v>L276</x:v>
      </x:c>
      <x:c r="D33"/>
      <x:c r="E33" s="13"/>
      <x:c r="F33"/>
      <x:c r="G33" s="12"/>
      <x:c r="H33" s="13"/>
      <x:c r="I33"/>
      <x:c r="J33" s="12"/>
      <x:c r="K33" s="13"/>
      <x:c r="L33"/>
      <x:c r="M33" s="12"/>
      <x:c r="N33" s="13"/>
      <x:c r="O33" s="13">
        <x:f t="shared" si="0"/>
      </x:c>
      <x:c r="P33" s="13">
        <x:f t="shared" si="1"/>
      </x:c>
      <x:c r="Q33">
        <x:f t="shared" si="2"/>
      </x:c>
    </x:row>
    <x:row r="34">
      <x:c r="A34" s="12" t="n">
        <x:v>46205</x:v>
      </x:c>
      <x:c r="B34" t="str">
        <x:v>Trapus šakotis</x:v>
      </x:c>
      <x:c r="C34" t="str">
        <x:v>L276</x:v>
      </x:c>
      <x:c r="D34"/>
      <x:c r="E34" s="13"/>
      <x:c r="F34"/>
      <x:c r="G34" s="12"/>
      <x:c r="H34" s="13"/>
      <x:c r="I34"/>
      <x:c r="J34" s="12"/>
      <x:c r="K34" s="13"/>
      <x:c r="L34"/>
      <x:c r="M34" s="12"/>
      <x:c r="N34" s="13"/>
      <x:c r="O34" s="13">
        <x:f t="shared" si="0"/>
      </x:c>
      <x:c r="P34" s="13">
        <x:f t="shared" si="1"/>
      </x:c>
      <x:c r="Q34">
        <x:f t="shared" si="2"/>
      </x:c>
    </x:row>
    <x:row r="35">
      <x:c r="A35" s="12" t="n">
        <x:v>46205</x:v>
      </x:c>
      <x:c r="B35" t="str">
        <x:v>Trapus šakotis</x:v>
      </x:c>
      <x:c r="C35" t="str">
        <x:v>L276</x:v>
      </x:c>
      <x:c r="D35"/>
      <x:c r="E35" s="13"/>
      <x:c r="F35"/>
      <x:c r="G35" s="12"/>
      <x:c r="H35" s="13"/>
      <x:c r="I35"/>
      <x:c r="J35" s="12"/>
      <x:c r="K35" s="13"/>
      <x:c r="L35"/>
      <x:c r="M35" s="12"/>
      <x:c r="N35" s="13"/>
      <x:c r="O35" s="13">
        <x:f t="shared" si="0"/>
      </x:c>
      <x:c r="P35" s="13">
        <x:f t="shared" si="1"/>
      </x:c>
      <x:c r="Q35">
        <x:f t="shared" si="2"/>
      </x:c>
    </x:row>
    <x:row r="36">
      <x:c r="A36" s="12" t="n">
        <x:v>46206</x:v>
      </x:c>
      <x:c r="B36" t="str">
        <x:v>Šakotis</x:v>
      </x:c>
      <x:c r="C36" t="str">
        <x:v>L276</x:v>
      </x:c>
      <x:c r="D36" t="str">
        <x:v>Miltai</x:v>
      </x:c>
      <x:c r="E36" s="13" t="n">
        <x:v>87.199986048</x:v>
      </x:c>
      <x:c r="F36" t="str">
        <x:v>Mil0630</x:v>
      </x:c>
      <x:c r="G36" s="12" t="n">
        <x:v>46419</x:v>
      </x:c>
      <x:c r="H36" s="13" t="n">
        <x:v>87.199986048</x:v>
      </x:c>
      <x:c r="I36"/>
      <x:c r="J36" s="12"/>
      <x:c r="K36" s="13"/>
      <x:c r="L36"/>
      <x:c r="M36" s="12"/>
      <x:c r="N36" s="13"/>
      <x:c r="O36" s="13" t="n">
        <x:f t="shared" ref="O36:O67" si="3">IF($D36="","",SUM($H36,$K36,$N36))</x:f>
        <x:v>87.199986048</x:v>
      </x:c>
      <x:c r="P36" s="13" t="n">
        <x:f t="shared" ref="P36:P67" si="4">IF($D36="","",MAX(0,$E36-$O36))</x:f>
        <x:v>0</x:v>
      </x:c>
      <x:c r="Q36" t="str">
        <x:f t="shared" ref="Q36:Q67" si="5">IF($D36="","",IF($E36=0,"TRŪKSTA RECEPTŪROS NORMOS",IF($P36&lt;0.001,"OK","TRŪKSTA / NĖRA GALIOJANČIOS PARTIJOS")))</x:f>
        <x:v>OK</x:v>
      </x:c>
    </x:row>
    <x:row r="37">
      <x:c r="A37" s="12" t="n">
        <x:v>46206</x:v>
      </x:c>
      <x:c r="B37" t="str">
        <x:v>Šakotis</x:v>
      </x:c>
      <x:c r="C37" t="str">
        <x:v>L276</x:v>
      </x:c>
      <x:c r="D37" t="str">
        <x:v>Pienas</x:v>
      </x:c>
      <x:c r="E37" s="13" t="n">
        <x:v>32.699994767999996</x:v>
      </x:c>
      <x:c r="F37" t="str">
        <x:v>P0630</x:v>
      </x:c>
      <x:c r="G37" s="12" t="n">
        <x:v>46208</x:v>
      </x:c>
      <x:c r="H37" s="13" t="n">
        <x:v>31.15307464</x:v>
      </x:c>
      <x:c r="I37" t="str">
        <x:v>P0701</x:v>
      </x:c>
      <x:c r="J37" s="12" t="n">
        <x:v>46210</x:v>
      </x:c>
      <x:c r="K37" s="13" t="n">
        <x:v>1.5469201279999965</x:v>
      </x:c>
      <x:c r="L37"/>
      <x:c r="M37" s="12"/>
      <x:c r="N37" s="13"/>
      <x:c r="O37" s="13" t="n">
        <x:f t="shared" si="3"/>
        <x:v>32.699994767999996</x:v>
      </x:c>
      <x:c r="P37" s="13" t="n">
        <x:f t="shared" si="4"/>
        <x:v>0</x:v>
      </x:c>
      <x:c r="Q37" t="str">
        <x:f t="shared" si="5"/>
        <x:v>OK</x:v>
      </x:c>
    </x:row>
    <x:row r="38">
      <x:c r="A38" s="12" t="n">
        <x:v>46206</x:v>
      </x:c>
      <x:c r="B38" t="str">
        <x:v>Šakotis</x:v>
      </x:c>
      <x:c r="C38" t="str">
        <x:v>L276</x:v>
      </x:c>
      <x:c r="D38" t="str">
        <x:v>Kiaušiniai</x:v>
      </x:c>
      <x:c r="E38" s="13" t="n">
        <x:v>119.89989535999997</x:v>
      </x:c>
      <x:c r="F38" t="str">
        <x:v>K0630</x:v>
      </x:c>
      <x:c r="G38" s="12" t="n">
        <x:v>46218</x:v>
      </x:c>
      <x:c r="H38" s="13" t="n">
        <x:v>119.89989535999997</x:v>
      </x:c>
      <x:c r="I38"/>
      <x:c r="J38" s="12"/>
      <x:c r="K38" s="13"/>
      <x:c r="L38"/>
      <x:c r="M38" s="12"/>
      <x:c r="N38" s="13"/>
      <x:c r="O38" s="13" t="n">
        <x:f t="shared" si="3"/>
        <x:v>119.89989535999997</x:v>
      </x:c>
      <x:c r="P38" s="13" t="n">
        <x:f t="shared" si="4"/>
        <x:v>0</x:v>
      </x:c>
      <x:c r="Q38" t="str">
        <x:f t="shared" si="5"/>
        <x:v>OK</x:v>
      </x:c>
    </x:row>
    <x:row r="39">
      <x:c r="A39" s="12" t="n">
        <x:v>46206</x:v>
      </x:c>
      <x:c r="B39" t="str">
        <x:v>Šakotis</x:v>
      </x:c>
      <x:c r="C39" t="str">
        <x:v>L276</x:v>
      </x:c>
      <x:c r="D39" t="str">
        <x:v>Cukrus</x:v>
      </x:c>
      <x:c r="E39" s="13" t="n">
        <x:v>65.39998953599999</x:v>
      </x:c>
      <x:c r="F39" t="str">
        <x:v>Cuk0630</x:v>
      </x:c>
      <x:c r="G39" s="12" t="n">
        <x:v>46388</x:v>
      </x:c>
      <x:c r="H39" s="13" t="n">
        <x:v>65.39998953599999</x:v>
      </x:c>
      <x:c r="I39"/>
      <x:c r="J39" s="12"/>
      <x:c r="K39" s="13"/>
      <x:c r="L39"/>
      <x:c r="M39" s="12"/>
      <x:c r="N39" s="13"/>
      <x:c r="O39" s="13" t="n">
        <x:f t="shared" si="3"/>
        <x:v>65.39998953599999</x:v>
      </x:c>
      <x:c r="P39" s="13" t="n">
        <x:f t="shared" si="4"/>
        <x:v>0</x:v>
      </x:c>
      <x:c r="Q39" t="str">
        <x:f t="shared" si="5"/>
        <x:v>OK</x:v>
      </x:c>
    </x:row>
    <x:row r="40">
      <x:c r="A40" s="12" t="n">
        <x:v>46206</x:v>
      </x:c>
      <x:c r="B40" t="str">
        <x:v>Šakotis</x:v>
      </x:c>
      <x:c r="C40" t="str">
        <x:v>L276</x:v>
      </x:c>
      <x:c r="D40" t="str">
        <x:v>Margarinas Šakočiui "Alvas"</x:v>
      </x:c>
      <x:c r="E40" s="13" t="n">
        <x:v>65.39998953599999</x:v>
      </x:c>
      <x:c r="F40" t="str">
        <x:v>MarA0630</x:v>
      </x:c>
      <x:c r="G40" s="12" t="n">
        <x:v>46306</x:v>
      </x:c>
      <x:c r="H40" s="13" t="n">
        <x:v>65.39998953599999</x:v>
      </x:c>
      <x:c r="I40"/>
      <x:c r="J40" s="12"/>
      <x:c r="K40" s="13"/>
      <x:c r="L40"/>
      <x:c r="M40" s="12"/>
      <x:c r="N40" s="13"/>
      <x:c r="O40" s="13" t="n">
        <x:f t="shared" si="3"/>
        <x:v>65.39998953599999</x:v>
      </x:c>
      <x:c r="P40" s="13" t="n">
        <x:f t="shared" si="4"/>
        <x:v>0</x:v>
      </x:c>
      <x:c r="Q40" t="str">
        <x:f t="shared" si="5"/>
        <x:v>OK</x:v>
      </x:c>
    </x:row>
    <x:row r="41">
      <x:c r="A41" s="12" t="n">
        <x:v>46206</x:v>
      </x:c>
      <x:c r="B41" t="str">
        <x:v>Šakotis</x:v>
      </x:c>
      <x:c r="C41" t="str">
        <x:v>L276</x:v>
      </x:c>
      <x:c r="D41" t="str">
        <x:v>Kvapnioji medžiaga</x:v>
      </x:c>
      <x:c r="E41" s="13" t="n">
        <x:v>0.217998256</x:v>
      </x:c>
      <x:c r="F41" t="str">
        <x:v>Kvp0630</x:v>
      </x:c>
      <x:c r="G41" s="12" t="n">
        <x:v>46388</x:v>
      </x:c>
      <x:c r="H41" s="13" t="n">
        <x:v>0.217998256</x:v>
      </x:c>
      <x:c r="I41"/>
      <x:c r="J41" s="12"/>
      <x:c r="K41" s="13"/>
      <x:c r="L41"/>
      <x:c r="M41" s="12"/>
      <x:c r="N41" s="13"/>
      <x:c r="O41" s="13" t="n">
        <x:f t="shared" si="3"/>
        <x:v>0.217998256</x:v>
      </x:c>
      <x:c r="P41" s="13" t="n">
        <x:f t="shared" si="4"/>
        <x:v>0</x:v>
      </x:c>
      <x:c r="Q41" t="str">
        <x:f t="shared" si="5"/>
        <x:v>OK</x:v>
      </x:c>
    </x:row>
    <x:row r="42">
      <x:c r="A42" s="12" t="n">
        <x:v>46206</x:v>
      </x:c>
      <x:c r="B42" t="str">
        <x:v>Šakotis</x:v>
      </x:c>
      <x:c r="C42" t="str">
        <x:v>L276</x:v>
      </x:c>
      <x:c r="D42" t="str">
        <x:v>Ciberžolė</x:v>
      </x:c>
      <x:c r="E42" s="13" t="n">
        <x:v>0.762993896</x:v>
      </x:c>
      <x:c r="F42" t="str">
        <x:v>Cib0630</x:v>
      </x:c>
      <x:c r="G42" s="12" t="n">
        <x:v>46573</x:v>
      </x:c>
      <x:c r="H42" s="13" t="n">
        <x:v>0.762993896</x:v>
      </x:c>
      <x:c r="I42"/>
      <x:c r="J42" s="12"/>
      <x:c r="K42" s="13"/>
      <x:c r="L42"/>
      <x:c r="M42" s="12"/>
      <x:c r="N42" s="13"/>
      <x:c r="O42" s="13" t="n">
        <x:f t="shared" si="3"/>
        <x:v>0.762993896</x:v>
      </x:c>
      <x:c r="P42" s="13" t="n">
        <x:f t="shared" si="4"/>
        <x:v>0</x:v>
      </x:c>
      <x:c r="Q42" t="str">
        <x:f t="shared" si="5"/>
        <x:v>OK</x:v>
      </x:c>
    </x:row>
    <x:row r="43">
      <x:c r="A43" s="12" t="n">
        <x:v>46206</x:v>
      </x:c>
      <x:c r="B43" t="str">
        <x:v>Šakotis</x:v>
      </x:c>
      <x:c r="C43" t="str">
        <x:v>L276</x:v>
      </x:c>
      <x:c r="D43" t="str">
        <x:v>Vanduo</x:v>
      </x:c>
      <x:c r="E43" s="13" t="n">
        <x:v>10.89799004</x:v>
      </x:c>
      <x:c r="F43" t="str">
        <x:v>Netaikoma</x:v>
      </x:c>
      <x:c r="G43" s="12"/>
      <x:c r="H43" s="13" t="n">
        <x:v>10.89799004</x:v>
      </x:c>
      <x:c r="I43"/>
      <x:c r="J43" s="12"/>
      <x:c r="K43" s="13"/>
      <x:c r="L43"/>
      <x:c r="M43" s="12"/>
      <x:c r="N43" s="13"/>
      <x:c r="O43" s="13" t="n">
        <x:f t="shared" si="3"/>
        <x:v>10.89799004</x:v>
      </x:c>
      <x:c r="P43" s="13" t="n">
        <x:f t="shared" si="4"/>
        <x:v>0</x:v>
      </x:c>
      <x:c r="Q43" t="str">
        <x:f t="shared" si="5"/>
        <x:v>OK</x:v>
      </x:c>
    </x:row>
    <x:row r="44">
      <x:c r="A44" s="12" t="n">
        <x:v>46206</x:v>
      </x:c>
      <x:c r="B44" t="str">
        <x:v>Trapus šakotis</x:v>
      </x:c>
      <x:c r="C44" t="str">
        <x:v>L276</x:v>
      </x:c>
      <x:c r="D44" t="str">
        <x:v>Miltai</x:v>
      </x:c>
      <x:c r="E44" s="13" t="n">
        <x:v>82.49998679999999</x:v>
      </x:c>
      <x:c r="F44" t="str">
        <x:v>Mil0630</x:v>
      </x:c>
      <x:c r="G44" s="12" t="n">
        <x:v>46419</x:v>
      </x:c>
      <x:c r="H44" s="13" t="n">
        <x:v>82.49998679999999</x:v>
      </x:c>
      <x:c r="I44"/>
      <x:c r="J44" s="12"/>
      <x:c r="K44" s="13"/>
      <x:c r="L44"/>
      <x:c r="M44" s="12"/>
      <x:c r="N44" s="13"/>
      <x:c r="O44" s="13" t="n">
        <x:f t="shared" si="3"/>
        <x:v>82.49998679999999</x:v>
      </x:c>
      <x:c r="P44" s="13" t="n">
        <x:f t="shared" si="4"/>
        <x:v>0</x:v>
      </x:c>
      <x:c r="Q44" t="str">
        <x:f t="shared" si="5"/>
        <x:v>OK</x:v>
      </x:c>
    </x:row>
    <x:row r="45">
      <x:c r="A45" s="12" t="n">
        <x:v>46206</x:v>
      </x:c>
      <x:c r="B45" t="str">
        <x:v>Trapus šakotis</x:v>
      </x:c>
      <x:c r="C45" t="str">
        <x:v>L276</x:v>
      </x:c>
      <x:c r="D45" t="str">
        <x:v>Grietinės mišinys</x:v>
      </x:c>
      <x:c r="E45" s="13" t="n">
        <x:v>59.39999372999999</x:v>
      </x:c>
      <x:c r="F45" t="str">
        <x:v>Gr0630</x:v>
      </x:c>
      <x:c r="G45" s="12" t="n">
        <x:v>46208</x:v>
      </x:c>
      <x:c r="H45" s="13" t="n">
        <x:v>7.400010830000014</x:v>
      </x:c>
      <x:c r="I45" t="str">
        <x:v>Gr0701</x:v>
      </x:c>
      <x:c r="J45" s="12" t="n">
        <x:v>46210</x:v>
      </x:c>
      <x:c r="K45" s="13" t="n">
        <x:v>51.99998289999998</x:v>
      </x:c>
      <x:c r="L45"/>
      <x:c r="M45" s="12"/>
      <x:c r="N45" s="13"/>
      <x:c r="O45" s="13" t="n">
        <x:f t="shared" si="3"/>
        <x:v>59.39999372999999</x:v>
      </x:c>
      <x:c r="P45" s="13" t="n">
        <x:f t="shared" si="4"/>
        <x:v>0</x:v>
      </x:c>
      <x:c r="Q45" t="str">
        <x:f t="shared" si="5"/>
        <x:v>OK</x:v>
      </x:c>
    </x:row>
    <x:row r="46">
      <x:c r="A46" s="12" t="n">
        <x:v>46206</x:v>
      </x:c>
      <x:c r="B46" t="str">
        <x:v>Trapus šakotis</x:v>
      </x:c>
      <x:c r="C46" t="str">
        <x:v>L276</x:v>
      </x:c>
      <x:c r="D46" t="str">
        <x:v>Kiaušiniai</x:v>
      </x:c>
      <x:c r="E46" s="13" t="n">
        <x:v>82.49998679999999</x:v>
      </x:c>
      <x:c r="F46" t="str">
        <x:v>K0630</x:v>
      </x:c>
      <x:c r="G46" s="12" t="n">
        <x:v>46218</x:v>
      </x:c>
      <x:c r="H46" s="13" t="n">
        <x:v>82.49998679999999</x:v>
      </x:c>
      <x:c r="I46"/>
      <x:c r="J46" s="12"/>
      <x:c r="K46" s="13"/>
      <x:c r="L46"/>
      <x:c r="M46" s="12"/>
      <x:c r="N46" s="13"/>
      <x:c r="O46" s="13" t="n">
        <x:f t="shared" si="3"/>
        <x:v>82.49998679999999</x:v>
      </x:c>
      <x:c r="P46" s="13" t="n">
        <x:f t="shared" si="4"/>
        <x:v>0</x:v>
      </x:c>
      <x:c r="Q46" t="str">
        <x:f t="shared" si="5"/>
        <x:v>OK</x:v>
      </x:c>
    </x:row>
    <x:row r="47">
      <x:c r="A47" s="12" t="n">
        <x:v>46206</x:v>
      </x:c>
      <x:c r="B47" t="str">
        <x:v>Trapus šakotis</x:v>
      </x:c>
      <x:c r="C47" t="str">
        <x:v>L276</x:v>
      </x:c>
      <x:c r="D47" t="str">
        <x:v>Cukrus</x:v>
      </x:c>
      <x:c r="E47" s="13" t="n">
        <x:v>49.49999208</x:v>
      </x:c>
      <x:c r="F47" t="str">
        <x:v>Cuk0630</x:v>
      </x:c>
      <x:c r="G47" s="12" t="n">
        <x:v>46388</x:v>
      </x:c>
      <x:c r="H47" s="13" t="n">
        <x:v>49.49999208</x:v>
      </x:c>
      <x:c r="I47"/>
      <x:c r="J47" s="12"/>
      <x:c r="K47" s="13"/>
      <x:c r="L47"/>
      <x:c r="M47" s="12"/>
      <x:c r="N47" s="13"/>
      <x:c r="O47" s="13" t="n">
        <x:f t="shared" si="3"/>
        <x:v>49.49999208</x:v>
      </x:c>
      <x:c r="P47" s="13" t="n">
        <x:f t="shared" si="4"/>
        <x:v>0</x:v>
      </x:c>
      <x:c r="Q47" t="str">
        <x:f t="shared" si="5"/>
        <x:v>OK</x:v>
      </x:c>
    </x:row>
    <x:row r="48">
      <x:c r="A48" s="12" t="n">
        <x:v>46206</x:v>
      </x:c>
      <x:c r="B48" t="str">
        <x:v>Trapus šakotis</x:v>
      </x:c>
      <x:c r="C48" t="str">
        <x:v>L276</x:v>
      </x:c>
      <x:c r="D48" t="str">
        <x:v>Margarinas trapiam "IEVA"</x:v>
      </x:c>
      <x:c r="E48" s="13" t="n">
        <x:v>58.409920799999995</x:v>
      </x:c>
      <x:c r="F48" t="str">
        <x:v>MarI0630</x:v>
      </x:c>
      <x:c r="G48" s="12" t="n">
        <x:v>46336</x:v>
      </x:c>
      <x:c r="H48" s="13" t="n">
        <x:v>58.409920799999995</x:v>
      </x:c>
      <x:c r="I48"/>
      <x:c r="J48" s="12"/>
      <x:c r="K48" s="13"/>
      <x:c r="L48"/>
      <x:c r="M48" s="12"/>
      <x:c r="N48" s="13"/>
      <x:c r="O48" s="13" t="n">
        <x:f t="shared" si="3"/>
        <x:v>58.409920799999995</x:v>
      </x:c>
      <x:c r="P48" s="13" t="n">
        <x:f t="shared" si="4"/>
        <x:v>0</x:v>
      </x:c>
      <x:c r="Q48" t="str">
        <x:f t="shared" si="5"/>
        <x:v>OK</x:v>
      </x:c>
    </x:row>
    <x:row r="49">
      <x:c r="A49" s="12" t="n">
        <x:v>46206</x:v>
      </x:c>
      <x:c r="B49" t="str">
        <x:v>Trapus šakotis</x:v>
      </x:c>
      <x:c r="C49" t="str">
        <x:v>L276</x:v>
      </x:c>
      <x:c r="D49"/>
      <x:c r="E49" s="13"/>
      <x:c r="F49"/>
      <x:c r="G49" s="12"/>
      <x:c r="H49" s="13"/>
      <x:c r="I49"/>
      <x:c r="J49" s="12"/>
      <x:c r="K49" s="13"/>
      <x:c r="L49"/>
      <x:c r="M49" s="12"/>
      <x:c r="N49" s="13"/>
      <x:c r="O49" s="13">
        <x:f t="shared" si="3"/>
      </x:c>
      <x:c r="P49" s="13">
        <x:f t="shared" si="4"/>
      </x:c>
      <x:c r="Q49">
        <x:f t="shared" si="5"/>
      </x:c>
    </x:row>
    <x:row r="50">
      <x:c r="A50" s="12" t="n">
        <x:v>46206</x:v>
      </x:c>
      <x:c r="B50" t="str">
        <x:v>Trapus šakotis</x:v>
      </x:c>
      <x:c r="C50" t="str">
        <x:v>L276</x:v>
      </x:c>
      <x:c r="D50"/>
      <x:c r="E50" s="13"/>
      <x:c r="F50"/>
      <x:c r="G50" s="12"/>
      <x:c r="H50" s="13"/>
      <x:c r="I50"/>
      <x:c r="J50" s="12"/>
      <x:c r="K50" s="13"/>
      <x:c r="L50"/>
      <x:c r="M50" s="12"/>
      <x:c r="N50" s="13"/>
      <x:c r="O50" s="13">
        <x:f t="shared" si="3"/>
      </x:c>
      <x:c r="P50" s="13">
        <x:f t="shared" si="4"/>
      </x:c>
      <x:c r="Q50">
        <x:f t="shared" si="5"/>
      </x:c>
    </x:row>
    <x:row r="51">
      <x:c r="A51" s="12" t="n">
        <x:v>46206</x:v>
      </x:c>
      <x:c r="B51" t="str">
        <x:v>Trapus šakotis</x:v>
      </x:c>
      <x:c r="C51" t="str">
        <x:v>L276</x:v>
      </x:c>
      <x:c r="D51"/>
      <x:c r="E51" s="13"/>
      <x:c r="F51"/>
      <x:c r="G51" s="12"/>
      <x:c r="H51" s="13"/>
      <x:c r="I51"/>
      <x:c r="J51" s="12"/>
      <x:c r="K51" s="13"/>
      <x:c r="L51"/>
      <x:c r="M51" s="12"/>
      <x:c r="N51" s="13"/>
      <x:c r="O51" s="13">
        <x:f t="shared" si="3"/>
      </x:c>
      <x:c r="P51" s="13">
        <x:f t="shared" si="4"/>
      </x:c>
      <x:c r="Q51">
        <x:f t="shared" si="5"/>
      </x:c>
    </x:row>
    <x:row r="52">
      <x:c r="A52" s="12" t="n">
        <x:v>46210</x:v>
      </x:c>
      <x:c r="B52" t="str">
        <x:v>Šakotis</x:v>
      </x:c>
      <x:c r="C52" t="str">
        <x:v>L286</x:v>
      </x:c>
      <x:c r="D52" t="str">
        <x:v>Miltai</x:v>
      </x:c>
      <x:c r="E52" s="13" t="n">
        <x:v>73.99998816</x:v>
      </x:c>
      <x:c r="F52" t="str">
        <x:v>Mil0630</x:v>
      </x:c>
      <x:c r="G52" s="12" t="n">
        <x:v>46419</x:v>
      </x:c>
      <x:c r="H52" s="13" t="n">
        <x:v>73.99998816</x:v>
      </x:c>
      <x:c r="I52"/>
      <x:c r="J52" s="12"/>
      <x:c r="K52" s="13"/>
      <x:c r="L52"/>
      <x:c r="M52" s="12"/>
      <x:c r="N52" s="13"/>
      <x:c r="O52" s="13" t="n">
        <x:f t="shared" si="3"/>
        <x:v>73.99998816</x:v>
      </x:c>
      <x:c r="P52" s="13" t="n">
        <x:f t="shared" si="4"/>
        <x:v>0</x:v>
      </x:c>
      <x:c r="Q52" t="str">
        <x:f t="shared" si="5"/>
        <x:v>OK</x:v>
      </x:c>
    </x:row>
    <x:row r="53">
      <x:c r="A53" s="12" t="n">
        <x:v>46210</x:v>
      </x:c>
      <x:c r="B53" t="str">
        <x:v>Šakotis</x:v>
      </x:c>
      <x:c r="C53" t="str">
        <x:v>L286</x:v>
      </x:c>
      <x:c r="D53" t="str">
        <x:v>Pienas</x:v>
      </x:c>
      <x:c r="E53" s="13" t="n">
        <x:v>27.749995560000002</x:v>
      </x:c>
      <x:c r="F53" t="str">
        <x:v>P0701</x:v>
      </x:c>
      <x:c r="G53" s="12" t="n">
        <x:v>46210</x:v>
      </x:c>
      <x:c r="H53" s="13" t="n">
        <x:v>27.749995560000002</x:v>
      </x:c>
      <x:c r="I53"/>
      <x:c r="J53" s="12"/>
      <x:c r="K53" s="13"/>
      <x:c r="L53"/>
      <x:c r="M53" s="12"/>
      <x:c r="N53" s="13"/>
      <x:c r="O53" s="13" t="n">
        <x:f t="shared" si="3"/>
        <x:v>27.749995560000002</x:v>
      </x:c>
      <x:c r="P53" s="13" t="n">
        <x:f t="shared" si="4"/>
        <x:v>0</x:v>
      </x:c>
      <x:c r="Q53" t="str">
        <x:f t="shared" si="5"/>
        <x:v>OK</x:v>
      </x:c>
    </x:row>
    <x:row r="54">
      <x:c r="A54" s="12" t="n">
        <x:v>46210</x:v>
      </x:c>
      <x:c r="B54" t="str">
        <x:v>Šakotis</x:v>
      </x:c>
      <x:c r="C54" t="str">
        <x:v>L286</x:v>
      </x:c>
      <x:c r="D54" t="str">
        <x:v>Kiaušiniai</x:v>
      </x:c>
      <x:c r="E54" s="13" t="n">
        <x:v>101.7499112</x:v>
      </x:c>
      <x:c r="F54" t="str">
        <x:v>K0630</x:v>
      </x:c>
      <x:c r="G54" s="12" t="n">
        <x:v>46218</x:v>
      </x:c>
      <x:c r="H54" s="13" t="n">
        <x:v>101.7499112</x:v>
      </x:c>
      <x:c r="I54"/>
      <x:c r="J54" s="12"/>
      <x:c r="K54" s="13"/>
      <x:c r="L54"/>
      <x:c r="M54" s="12"/>
      <x:c r="N54" s="13"/>
      <x:c r="O54" s="13" t="n">
        <x:f t="shared" si="3"/>
        <x:v>101.7499112</x:v>
      </x:c>
      <x:c r="P54" s="13" t="n">
        <x:f t="shared" si="4"/>
        <x:v>0</x:v>
      </x:c>
      <x:c r="Q54" t="str">
        <x:f t="shared" si="5"/>
        <x:v>OK</x:v>
      </x:c>
    </x:row>
    <x:row r="55">
      <x:c r="A55" s="12" t="n">
        <x:v>46210</x:v>
      </x:c>
      <x:c r="B55" t="str">
        <x:v>Šakotis</x:v>
      </x:c>
      <x:c r="C55" t="str">
        <x:v>L286</x:v>
      </x:c>
      <x:c r="D55" t="str">
        <x:v>Cukrus</x:v>
      </x:c>
      <x:c r="E55" s="13" t="n">
        <x:v>55.499991120000004</x:v>
      </x:c>
      <x:c r="F55" t="str">
        <x:v>Cuk0630</x:v>
      </x:c>
      <x:c r="G55" s="12" t="n">
        <x:v>46388</x:v>
      </x:c>
      <x:c r="H55" s="13" t="n">
        <x:v>55.499991120000004</x:v>
      </x:c>
      <x:c r="I55"/>
      <x:c r="J55" s="12"/>
      <x:c r="K55" s="13"/>
      <x:c r="L55"/>
      <x:c r="M55" s="12"/>
      <x:c r="N55" s="13"/>
      <x:c r="O55" s="13" t="n">
        <x:f t="shared" si="3"/>
        <x:v>55.499991120000004</x:v>
      </x:c>
      <x:c r="P55" s="13" t="n">
        <x:f t="shared" si="4"/>
        <x:v>0</x:v>
      </x:c>
      <x:c r="Q55" t="str">
        <x:f t="shared" si="5"/>
        <x:v>OK</x:v>
      </x:c>
    </x:row>
    <x:row r="56">
      <x:c r="A56" s="12" t="n">
        <x:v>46210</x:v>
      </x:c>
      <x:c r="B56" t="str">
        <x:v>Šakotis</x:v>
      </x:c>
      <x:c r="C56" t="str">
        <x:v>L286</x:v>
      </x:c>
      <x:c r="D56" t="str">
        <x:v>Margarinas Šakočiui "Alvas"</x:v>
      </x:c>
      <x:c r="E56" s="13" t="n">
        <x:v>55.499991120000004</x:v>
      </x:c>
      <x:c r="F56" t="str">
        <x:v>MarA0630</x:v>
      </x:c>
      <x:c r="G56" s="12" t="n">
        <x:v>46306</x:v>
      </x:c>
      <x:c r="H56" s="13" t="n">
        <x:v>55.499991120000004</x:v>
      </x:c>
      <x:c r="I56"/>
      <x:c r="J56" s="12"/>
      <x:c r="K56" s="13"/>
      <x:c r="L56"/>
      <x:c r="M56" s="12"/>
      <x:c r="N56" s="13"/>
      <x:c r="O56" s="13" t="n">
        <x:f t="shared" si="3"/>
        <x:v>55.499991120000004</x:v>
      </x:c>
      <x:c r="P56" s="13" t="n">
        <x:f t="shared" si="4"/>
        <x:v>0</x:v>
      </x:c>
      <x:c r="Q56" t="str">
        <x:f t="shared" si="5"/>
        <x:v>OK</x:v>
      </x:c>
    </x:row>
    <x:row r="57">
      <x:c r="A57" s="12" t="n">
        <x:v>46210</x:v>
      </x:c>
      <x:c r="B57" t="str">
        <x:v>Šakotis</x:v>
      </x:c>
      <x:c r="C57" t="str">
        <x:v>L286</x:v>
      </x:c>
      <x:c r="D57" t="str">
        <x:v>Kvapnioji medžiaga</x:v>
      </x:c>
      <x:c r="E57" s="13" t="n">
        <x:v>0.18499852000000003</x:v>
      </x:c>
      <x:c r="F57" t="str">
        <x:v>Kvp0630</x:v>
      </x:c>
      <x:c r="G57" s="12" t="n">
        <x:v>46388</x:v>
      </x:c>
      <x:c r="H57" s="13" t="n">
        <x:v>0.18499852000000003</x:v>
      </x:c>
      <x:c r="I57"/>
      <x:c r="J57" s="12"/>
      <x:c r="K57" s="13"/>
      <x:c r="L57"/>
      <x:c r="M57" s="12"/>
      <x:c r="N57" s="13"/>
      <x:c r="O57" s="13" t="n">
        <x:f t="shared" si="3"/>
        <x:v>0.18499852000000003</x:v>
      </x:c>
      <x:c r="P57" s="13" t="n">
        <x:f t="shared" si="4"/>
        <x:v>0</x:v>
      </x:c>
      <x:c r="Q57" t="str">
        <x:f t="shared" si="5"/>
        <x:v>OK</x:v>
      </x:c>
    </x:row>
    <x:row r="58">
      <x:c r="A58" s="12" t="n">
        <x:v>46210</x:v>
      </x:c>
      <x:c r="B58" t="str">
        <x:v>Šakotis</x:v>
      </x:c>
      <x:c r="C58" t="str">
        <x:v>L286</x:v>
      </x:c>
      <x:c r="D58" t="str">
        <x:v>Ciberžolė</x:v>
      </x:c>
      <x:c r="E58" s="13" t="n">
        <x:v>0.64749482</x:v>
      </x:c>
      <x:c r="F58" t="str">
        <x:v>Cib0630</x:v>
      </x:c>
      <x:c r="G58" s="12" t="n">
        <x:v>46573</x:v>
      </x:c>
      <x:c r="H58" s="13" t="n">
        <x:v>0.64749482</x:v>
      </x:c>
      <x:c r="I58"/>
      <x:c r="J58" s="12"/>
      <x:c r="K58" s="13"/>
      <x:c r="L58"/>
      <x:c r="M58" s="12"/>
      <x:c r="N58" s="13"/>
      <x:c r="O58" s="13" t="n">
        <x:f t="shared" si="3"/>
        <x:v>0.64749482</x:v>
      </x:c>
      <x:c r="P58" s="13" t="n">
        <x:f t="shared" si="4"/>
        <x:v>0</x:v>
      </x:c>
      <x:c r="Q58" t="str">
        <x:f t="shared" si="5"/>
        <x:v>OK</x:v>
      </x:c>
    </x:row>
    <x:row r="59">
      <x:c r="A59" s="12" t="n">
        <x:v>46210</x:v>
      </x:c>
      <x:c r="B59" t="str">
        <x:v>Šakotis</x:v>
      </x:c>
      <x:c r="C59" t="str">
        <x:v>L286</x:v>
      </x:c>
      <x:c r="D59" t="str">
        <x:v>Vanduo</x:v>
      </x:c>
      <x:c r="E59" s="13" t="n">
        <x:v>9.248294300000001</x:v>
      </x:c>
      <x:c r="F59" t="str">
        <x:v>Netaikoma</x:v>
      </x:c>
      <x:c r="G59" s="12"/>
      <x:c r="H59" s="13" t="n">
        <x:v>9.248294300000001</x:v>
      </x:c>
      <x:c r="I59"/>
      <x:c r="J59" s="12"/>
      <x:c r="K59" s="13"/>
      <x:c r="L59"/>
      <x:c r="M59" s="12"/>
      <x:c r="N59" s="13"/>
      <x:c r="O59" s="13" t="n">
        <x:f t="shared" si="3"/>
        <x:v>9.248294300000001</x:v>
      </x:c>
      <x:c r="P59" s="13" t="n">
        <x:f t="shared" si="4"/>
        <x:v>0</x:v>
      </x:c>
      <x:c r="Q59" t="str">
        <x:f t="shared" si="5"/>
        <x:v>OK</x:v>
      </x:c>
    </x:row>
    <x:row r="60">
      <x:c r="A60" s="12" t="n">
        <x:v>46210</x:v>
      </x:c>
      <x:c r="B60" t="str">
        <x:v>Trapus šakotis</x:v>
      </x:c>
      <x:c r="C60" t="str">
        <x:v>L286</x:v>
      </x:c>
      <x:c r="D60" t="str">
        <x:v>Miltai</x:v>
      </x:c>
      <x:c r="E60" s="13" t="n">
        <x:v>39.9999936</x:v>
      </x:c>
      <x:c r="F60" t="str">
        <x:v>Mil0630</x:v>
      </x:c>
      <x:c r="G60" s="12" t="n">
        <x:v>46419</x:v>
      </x:c>
      <x:c r="H60" s="13" t="n">
        <x:v>39.9999936</x:v>
      </x:c>
      <x:c r="I60"/>
      <x:c r="J60" s="12"/>
      <x:c r="K60" s="13"/>
      <x:c r="L60"/>
      <x:c r="M60" s="12"/>
      <x:c r="N60" s="13"/>
      <x:c r="O60" s="13" t="n">
        <x:f t="shared" si="3"/>
        <x:v>39.9999936</x:v>
      </x:c>
      <x:c r="P60" s="13" t="n">
        <x:f t="shared" si="4"/>
        <x:v>0</x:v>
      </x:c>
      <x:c r="Q60" t="str">
        <x:f t="shared" si="5"/>
        <x:v>OK</x:v>
      </x:c>
    </x:row>
    <x:row r="61">
      <x:c r="A61" s="12" t="n">
        <x:v>46210</x:v>
      </x:c>
      <x:c r="B61" t="str">
        <x:v>Trapus šakotis</x:v>
      </x:c>
      <x:c r="C61" t="str">
        <x:v>L286</x:v>
      </x:c>
      <x:c r="D61" t="str">
        <x:v>Grietinės mišinys</x:v>
      </x:c>
      <x:c r="E61" s="13" t="n">
        <x:v>28.79999696</x:v>
      </x:c>
      <x:c r="F61" t="str">
        <x:v>Gr0701</x:v>
      </x:c>
      <x:c r="G61" s="12" t="n">
        <x:v>46210</x:v>
      </x:c>
      <x:c r="H61" s="13" t="n">
        <x:v>28.79999696</x:v>
      </x:c>
      <x:c r="I61"/>
      <x:c r="J61" s="12"/>
      <x:c r="K61" s="13"/>
      <x:c r="L61"/>
      <x:c r="M61" s="12"/>
      <x:c r="N61" s="13"/>
      <x:c r="O61" s="13" t="n">
        <x:f t="shared" si="3"/>
        <x:v>28.79999696</x:v>
      </x:c>
      <x:c r="P61" s="13" t="n">
        <x:f t="shared" si="4"/>
        <x:v>0</x:v>
      </x:c>
      <x:c r="Q61" t="str">
        <x:f t="shared" si="5"/>
        <x:v>OK</x:v>
      </x:c>
    </x:row>
    <x:row r="62">
      <x:c r="A62" s="12" t="n">
        <x:v>46210</x:v>
      </x:c>
      <x:c r="B62" t="str">
        <x:v>Trapus šakotis</x:v>
      </x:c>
      <x:c r="C62" t="str">
        <x:v>L286</x:v>
      </x:c>
      <x:c r="D62" t="str">
        <x:v>Kiaušiniai</x:v>
      </x:c>
      <x:c r="E62" s="13" t="n">
        <x:v>39.9999936</x:v>
      </x:c>
      <x:c r="F62" t="str">
        <x:v>K0630</x:v>
      </x:c>
      <x:c r="G62" s="12" t="n">
        <x:v>46218</x:v>
      </x:c>
      <x:c r="H62" s="13" t="n">
        <x:v>39.9999936</x:v>
      </x:c>
      <x:c r="I62"/>
      <x:c r="J62" s="12"/>
      <x:c r="K62" s="13"/>
      <x:c r="L62"/>
      <x:c r="M62" s="12"/>
      <x:c r="N62" s="13"/>
      <x:c r="O62" s="13" t="n">
        <x:f t="shared" si="3"/>
        <x:v>39.9999936</x:v>
      </x:c>
      <x:c r="P62" s="13" t="n">
        <x:f t="shared" si="4"/>
        <x:v>0</x:v>
      </x:c>
      <x:c r="Q62" t="str">
        <x:f t="shared" si="5"/>
        <x:v>OK</x:v>
      </x:c>
    </x:row>
    <x:row r="63">
      <x:c r="A63" s="12" t="n">
        <x:v>46210</x:v>
      </x:c>
      <x:c r="B63" t="str">
        <x:v>Trapus šakotis</x:v>
      </x:c>
      <x:c r="C63" t="str">
        <x:v>L286</x:v>
      </x:c>
      <x:c r="D63" t="str">
        <x:v>Cukrus</x:v>
      </x:c>
      <x:c r="E63" s="13" t="n">
        <x:v>23.999996160000002</x:v>
      </x:c>
      <x:c r="F63" t="str">
        <x:v>Cuk0630</x:v>
      </x:c>
      <x:c r="G63" s="12" t="n">
        <x:v>46388</x:v>
      </x:c>
      <x:c r="H63" s="13" t="n">
        <x:v>23.999996160000002</x:v>
      </x:c>
      <x:c r="I63"/>
      <x:c r="J63" s="12"/>
      <x:c r="K63" s="13"/>
      <x:c r="L63"/>
      <x:c r="M63" s="12"/>
      <x:c r="N63" s="13"/>
      <x:c r="O63" s="13" t="n">
        <x:f t="shared" si="3"/>
        <x:v>23.999996160000002</x:v>
      </x:c>
      <x:c r="P63" s="13" t="n">
        <x:f t="shared" si="4"/>
        <x:v>0</x:v>
      </x:c>
      <x:c r="Q63" t="str">
        <x:f t="shared" si="5"/>
        <x:v>OK</x:v>
      </x:c>
    </x:row>
    <x:row r="64">
      <x:c r="A64" s="12" t="n">
        <x:v>46210</x:v>
      </x:c>
      <x:c r="B64" t="str">
        <x:v>Trapus šakotis</x:v>
      </x:c>
      <x:c r="C64" t="str">
        <x:v>L286</x:v>
      </x:c>
      <x:c r="D64" t="str">
        <x:v>Margarinas trapiam "IEVA"</x:v>
      </x:c>
      <x:c r="E64" s="13" t="n">
        <x:v>28.319961600000003</x:v>
      </x:c>
      <x:c r="F64" t="str">
        <x:v>MarI0630</x:v>
      </x:c>
      <x:c r="G64" s="12" t="n">
        <x:v>46336</x:v>
      </x:c>
      <x:c r="H64" s="13" t="n">
        <x:v>28.319961600000003</x:v>
      </x:c>
      <x:c r="I64"/>
      <x:c r="J64" s="12"/>
      <x:c r="K64" s="13"/>
      <x:c r="L64"/>
      <x:c r="M64" s="12"/>
      <x:c r="N64" s="13"/>
      <x:c r="O64" s="13" t="n">
        <x:f t="shared" si="3"/>
        <x:v>28.319961600000003</x:v>
      </x:c>
      <x:c r="P64" s="13" t="n">
        <x:f t="shared" si="4"/>
        <x:v>0</x:v>
      </x:c>
      <x:c r="Q64" t="str">
        <x:f t="shared" si="5"/>
        <x:v>OK</x:v>
      </x:c>
    </x:row>
    <x:row r="65">
      <x:c r="A65" s="12" t="n">
        <x:v>46210</x:v>
      </x:c>
      <x:c r="B65" t="str">
        <x:v>Trapus šakotis</x:v>
      </x:c>
      <x:c r="C65" t="str">
        <x:v>L286</x:v>
      </x:c>
      <x:c r="D65"/>
      <x:c r="E65" s="13"/>
      <x:c r="F65"/>
      <x:c r="G65" s="12"/>
      <x:c r="H65" s="13"/>
      <x:c r="I65"/>
      <x:c r="J65" s="12"/>
      <x:c r="K65" s="13"/>
      <x:c r="L65"/>
      <x:c r="M65" s="12"/>
      <x:c r="N65" s="13"/>
      <x:c r="O65" s="13">
        <x:f t="shared" si="3"/>
      </x:c>
      <x:c r="P65" s="13">
        <x:f t="shared" si="4"/>
      </x:c>
      <x:c r="Q65">
        <x:f t="shared" si="5"/>
      </x:c>
    </x:row>
    <x:row r="66">
      <x:c r="A66" s="12" t="n">
        <x:v>46210</x:v>
      </x:c>
      <x:c r="B66" t="str">
        <x:v>Trapus šakotis</x:v>
      </x:c>
      <x:c r="C66" t="str">
        <x:v>L286</x:v>
      </x:c>
      <x:c r="D66"/>
      <x:c r="E66" s="13"/>
      <x:c r="F66"/>
      <x:c r="G66" s="12"/>
      <x:c r="H66" s="13"/>
      <x:c r="I66"/>
      <x:c r="J66" s="12"/>
      <x:c r="K66" s="13"/>
      <x:c r="L66"/>
      <x:c r="M66" s="12"/>
      <x:c r="N66" s="13"/>
      <x:c r="O66" s="13">
        <x:f t="shared" si="3"/>
      </x:c>
      <x:c r="P66" s="13">
        <x:f t="shared" si="4"/>
      </x:c>
      <x:c r="Q66">
        <x:f t="shared" si="5"/>
      </x:c>
    </x:row>
    <x:row r="67">
      <x:c r="A67" s="12" t="n">
        <x:v>46210</x:v>
      </x:c>
      <x:c r="B67" t="str">
        <x:v>Trapus šakotis</x:v>
      </x:c>
      <x:c r="C67" t="str">
        <x:v>L286</x:v>
      </x:c>
      <x:c r="D67"/>
      <x:c r="E67" s="13"/>
      <x:c r="F67"/>
      <x:c r="G67" s="12"/>
      <x:c r="H67" s="13"/>
      <x:c r="I67"/>
      <x:c r="J67" s="12"/>
      <x:c r="K67" s="13"/>
      <x:c r="L67"/>
      <x:c r="M67" s="12"/>
      <x:c r="N67" s="13"/>
      <x:c r="O67" s="13">
        <x:f t="shared" si="3"/>
      </x:c>
      <x:c r="P67" s="13">
        <x:f t="shared" si="4"/>
      </x:c>
      <x:c r="Q67">
        <x:f t="shared" si="5"/>
      </x:c>
    </x:row>
    <x:row r="68">
      <x:c r="A68" s="12" t="n">
        <x:v>46211</x:v>
      </x:c>
      <x:c r="B68" t="str">
        <x:v>Šakotis su sviestu</x:v>
      </x:c>
      <x:c r="C68" t="str">
        <x:v>L286</x:v>
      </x:c>
      <x:c r="D68" t="str">
        <x:v>Miltai</x:v>
      </x:c>
      <x:c r="E68" s="13" t="n">
        <x:v>72.799988352</x:v>
      </x:c>
      <x:c r="F68" t="str">
        <x:v>Mil0630</x:v>
      </x:c>
      <x:c r="G68" s="12" t="n">
        <x:v>46419</x:v>
      </x:c>
      <x:c r="H68" s="13" t="n">
        <x:v>72.799988352</x:v>
      </x:c>
      <x:c r="I68"/>
      <x:c r="J68" s="12"/>
      <x:c r="K68" s="13"/>
      <x:c r="L68"/>
      <x:c r="M68" s="12"/>
      <x:c r="N68" s="13"/>
      <x:c r="O68" s="13" t="n">
        <x:f t="shared" ref="O68:O99" si="6">IF($D68="","",SUM($H68,$K68,$N68))</x:f>
        <x:v>72.799988352</x:v>
      </x:c>
      <x:c r="P68" s="13" t="n">
        <x:f t="shared" ref="P68:P99" si="7">IF($D68="","",MAX(0,$E68-$O68))</x:f>
        <x:v>0</x:v>
      </x:c>
      <x:c r="Q68" t="str">
        <x:f t="shared" ref="Q68:Q99" si="8">IF($D68="","",IF($E68=0,"TRŪKSTA RECEPTŪROS NORMOS",IF($P68&lt;0.001,"OK","TRŪKSTA / NĖRA GALIOJANČIOS PARTIJOS")))</x:f>
        <x:v>OK</x:v>
      </x:c>
    </x:row>
    <x:row r="69">
      <x:c r="A69" s="12" t="n">
        <x:v>46211</x:v>
      </x:c>
      <x:c r="B69" t="str">
        <x:v>Šakotis su sviestu</x:v>
      </x:c>
      <x:c r="C69" t="str">
        <x:v>L286</x:v>
      </x:c>
      <x:c r="D69" t="str">
        <x:v>Pienas</x:v>
      </x:c>
      <x:c r="E69" s="13" t="n">
        <x:v>27.299995632000005</x:v>
      </x:c>
      <x:c r="F69" t="str">
        <x:v>P0703</x:v>
      </x:c>
      <x:c r="G69" s="12" t="n">
        <x:v>46213</x:v>
      </x:c>
      <x:c r="H69" s="13" t="n">
        <x:v>27.299995632000005</x:v>
      </x:c>
      <x:c r="I69"/>
      <x:c r="J69" s="12"/>
      <x:c r="K69" s="13"/>
      <x:c r="L69"/>
      <x:c r="M69" s="12"/>
      <x:c r="N69" s="13"/>
      <x:c r="O69" s="13" t="n">
        <x:f t="shared" si="6"/>
        <x:v>27.299995632000005</x:v>
      </x:c>
      <x:c r="P69" s="13" t="n">
        <x:f t="shared" si="7"/>
        <x:v>0</x:v>
      </x:c>
      <x:c r="Q69" t="str">
        <x:f t="shared" si="8"/>
        <x:v>OK</x:v>
      </x:c>
    </x:row>
    <x:row r="70">
      <x:c r="A70" s="12" t="n">
        <x:v>46211</x:v>
      </x:c>
      <x:c r="B70" t="str">
        <x:v>Šakotis su sviestu</x:v>
      </x:c>
      <x:c r="C70" t="str">
        <x:v>L286</x:v>
      </x:c>
      <x:c r="D70" t="str">
        <x:v>Kiaušiniai</x:v>
      </x:c>
      <x:c r="E70" s="13" t="n">
        <x:v>100.09991264</x:v>
      </x:c>
      <x:c r="F70" t="str">
        <x:v>K0630</x:v>
      </x:c>
      <x:c r="G70" s="12" t="n">
        <x:v>46218</x:v>
      </x:c>
      <x:c r="H70" s="13" t="n">
        <x:v>100.09991264</x:v>
      </x:c>
      <x:c r="I70"/>
      <x:c r="J70" s="12"/>
      <x:c r="K70" s="13"/>
      <x:c r="L70"/>
      <x:c r="M70" s="12"/>
      <x:c r="N70" s="13"/>
      <x:c r="O70" s="13" t="n">
        <x:f t="shared" si="6"/>
        <x:v>100.09991264</x:v>
      </x:c>
      <x:c r="P70" s="13" t="n">
        <x:f t="shared" si="7"/>
        <x:v>0</x:v>
      </x:c>
      <x:c r="Q70" t="str">
        <x:f t="shared" si="8"/>
        <x:v>OK</x:v>
      </x:c>
    </x:row>
    <x:row r="71">
      <x:c r="A71" s="12" t="n">
        <x:v>46211</x:v>
      </x:c>
      <x:c r="B71" t="str">
        <x:v>Šakotis su sviestu</x:v>
      </x:c>
      <x:c r="C71" t="str">
        <x:v>L286</x:v>
      </x:c>
      <x:c r="D71" t="str">
        <x:v>Cukrus</x:v>
      </x:c>
      <x:c r="E71" s="13" t="n">
        <x:v>54.59999126400001</x:v>
      </x:c>
      <x:c r="F71" t="str">
        <x:v>Cuk0630</x:v>
      </x:c>
      <x:c r="G71" s="12" t="n">
        <x:v>46388</x:v>
      </x:c>
      <x:c r="H71" s="13" t="n">
        <x:v>54.59999126400001</x:v>
      </x:c>
      <x:c r="I71"/>
      <x:c r="J71" s="12"/>
      <x:c r="K71" s="13"/>
      <x:c r="L71"/>
      <x:c r="M71" s="12"/>
      <x:c r="N71" s="13"/>
      <x:c r="O71" s="13" t="n">
        <x:f t="shared" si="6"/>
        <x:v>54.59999126400001</x:v>
      </x:c>
      <x:c r="P71" s="13" t="n">
        <x:f t="shared" si="7"/>
        <x:v>0</x:v>
      </x:c>
      <x:c r="Q71" t="str">
        <x:f t="shared" si="8"/>
        <x:v>OK</x:v>
      </x:c>
    </x:row>
    <x:row r="72">
      <x:c r="A72" s="12" t="n">
        <x:v>46211</x:v>
      </x:c>
      <x:c r="B72" t="str">
        <x:v>Šakotis su sviestu</x:v>
      </x:c>
      <x:c r="C72" t="str">
        <x:v>L286</x:v>
      </x:c>
      <x:c r="D72" t="str">
        <x:v>Sviestas</x:v>
      </x:c>
      <x:c r="E72" s="13" t="n">
        <x:v>54.59999126400001</x:v>
      </x:c>
      <x:c r="F72" t="str">
        <x:v>Sv0630</x:v>
      </x:c>
      <x:c r="G72" s="12" t="n">
        <x:v>46368</x:v>
      </x:c>
      <x:c r="H72" s="13" t="n">
        <x:v>54.59999126400001</x:v>
      </x:c>
      <x:c r="I72"/>
      <x:c r="J72" s="12"/>
      <x:c r="K72" s="13"/>
      <x:c r="L72"/>
      <x:c r="M72" s="12"/>
      <x:c r="N72" s="13"/>
      <x:c r="O72" s="13" t="n">
        <x:f t="shared" si="6"/>
        <x:v>54.59999126400001</x:v>
      </x:c>
      <x:c r="P72" s="13" t="n">
        <x:f t="shared" si="7"/>
        <x:v>0</x:v>
      </x:c>
      <x:c r="Q72" t="str">
        <x:f t="shared" si="8"/>
        <x:v>OK</x:v>
      </x:c>
    </x:row>
    <x:row r="73">
      <x:c r="A73" s="12" t="n">
        <x:v>46211</x:v>
      </x:c>
      <x:c r="B73" t="str">
        <x:v>Šakotis su sviestu</x:v>
      </x:c>
      <x:c r="C73" t="str">
        <x:v>L286</x:v>
      </x:c>
      <x:c r="D73" t="str">
        <x:v>Kvapnioji medžiaga</x:v>
      </x:c>
      <x:c r="E73" s="13" t="n">
        <x:v>0.18199854400000004</x:v>
      </x:c>
      <x:c r="F73" t="str">
        <x:v>Kvp0630</x:v>
      </x:c>
      <x:c r="G73" s="12" t="n">
        <x:v>46388</x:v>
      </x:c>
      <x:c r="H73" s="13" t="n">
        <x:v>0.18199854400000004</x:v>
      </x:c>
      <x:c r="I73"/>
      <x:c r="J73" s="12"/>
      <x:c r="K73" s="13"/>
      <x:c r="L73"/>
      <x:c r="M73" s="12"/>
      <x:c r="N73" s="13"/>
      <x:c r="O73" s="13" t="n">
        <x:f t="shared" si="6"/>
        <x:v>0.18199854400000004</x:v>
      </x:c>
      <x:c r="P73" s="13" t="n">
        <x:f t="shared" si="7"/>
        <x:v>0</x:v>
      </x:c>
      <x:c r="Q73" t="str">
        <x:f t="shared" si="8"/>
        <x:v>OK</x:v>
      </x:c>
    </x:row>
    <x:row r="74">
      <x:c r="A74" s="12" t="n">
        <x:v>46211</x:v>
      </x:c>
      <x:c r="B74" t="str">
        <x:v>Šakotis su sviestu</x:v>
      </x:c>
      <x:c r="C74" t="str">
        <x:v>L286</x:v>
      </x:c>
      <x:c r="D74" t="str">
        <x:v>Ciberžolė</x:v>
      </x:c>
      <x:c r="E74" s="13" t="n">
        <x:v>0.636994904</x:v>
      </x:c>
      <x:c r="F74" t="str">
        <x:v>Cib0630</x:v>
      </x:c>
      <x:c r="G74" s="12" t="n">
        <x:v>46573</x:v>
      </x:c>
      <x:c r="H74" s="13" t="n">
        <x:v>0.636994904</x:v>
      </x:c>
      <x:c r="I74"/>
      <x:c r="J74" s="12"/>
      <x:c r="K74" s="13"/>
      <x:c r="L74"/>
      <x:c r="M74" s="12"/>
      <x:c r="N74" s="13"/>
      <x:c r="O74" s="13" t="n">
        <x:f t="shared" si="6"/>
        <x:v>0.636994904</x:v>
      </x:c>
      <x:c r="P74" s="13" t="n">
        <x:f t="shared" si="7"/>
        <x:v>0</x:v>
      </x:c>
      <x:c r="Q74" t="str">
        <x:f t="shared" si="8"/>
        <x:v>OK</x:v>
      </x:c>
    </x:row>
    <x:row r="75">
      <x:c r="A75" s="12" t="n">
        <x:v>46211</x:v>
      </x:c>
      <x:c r="B75" t="str">
        <x:v>Šakotis su sviestu</x:v>
      </x:c>
      <x:c r="C75" t="str">
        <x:v>L286</x:v>
      </x:c>
      <x:c r="D75" t="str">
        <x:v>Vanduo</x:v>
      </x:c>
      <x:c r="E75" s="13" t="n">
        <x:v>18.199854400000003</x:v>
      </x:c>
      <x:c r="F75" t="str">
        <x:v>Netaikoma</x:v>
      </x:c>
      <x:c r="G75" s="12"/>
      <x:c r="H75" s="13" t="n">
        <x:v>18.199854400000003</x:v>
      </x:c>
      <x:c r="I75"/>
      <x:c r="J75" s="12"/>
      <x:c r="K75" s="13"/>
      <x:c r="L75"/>
      <x:c r="M75" s="12"/>
      <x:c r="N75" s="13"/>
      <x:c r="O75" s="13" t="n">
        <x:f t="shared" si="6"/>
        <x:v>18.199854400000003</x:v>
      </x:c>
      <x:c r="P75" s="13" t="n">
        <x:f t="shared" si="7"/>
        <x:v>0</x:v>
      </x:c>
      <x:c r="Q75" t="str">
        <x:f t="shared" si="8"/>
        <x:v>OK</x:v>
      </x:c>
    </x:row>
    <x:row r="76">
      <x:c r="A76" s="12" t="n">
        <x:v>46211</x:v>
      </x:c>
      <x:c r="B76" t="str">
        <x:v>Trapus šakotis</x:v>
      </x:c>
      <x:c r="C76" t="str">
        <x:v>L286</x:v>
      </x:c>
      <x:c r="D76" t="str">
        <x:v>Miltai</x:v>
      </x:c>
      <x:c r="E76" s="13" t="n">
        <x:v>39.9999936</x:v>
      </x:c>
      <x:c r="F76" t="str">
        <x:v>Mil0630</x:v>
      </x:c>
      <x:c r="G76" s="12" t="n">
        <x:v>46419</x:v>
      </x:c>
      <x:c r="H76" s="13" t="n">
        <x:v>39.9999936</x:v>
      </x:c>
      <x:c r="I76"/>
      <x:c r="J76" s="12"/>
      <x:c r="K76" s="13"/>
      <x:c r="L76"/>
      <x:c r="M76" s="12"/>
      <x:c r="N76" s="13"/>
      <x:c r="O76" s="13" t="n">
        <x:f t="shared" si="6"/>
        <x:v>39.9999936</x:v>
      </x:c>
      <x:c r="P76" s="13" t="n">
        <x:f t="shared" si="7"/>
        <x:v>0</x:v>
      </x:c>
      <x:c r="Q76" t="str">
        <x:f t="shared" si="8"/>
        <x:v>OK</x:v>
      </x:c>
    </x:row>
    <x:row r="77">
      <x:c r="A77" s="12" t="n">
        <x:v>46211</x:v>
      </x:c>
      <x:c r="B77" t="str">
        <x:v>Trapus šakotis</x:v>
      </x:c>
      <x:c r="C77" t="str">
        <x:v>L286</x:v>
      </x:c>
      <x:c r="D77" t="str">
        <x:v>Grietinės mišinys</x:v>
      </x:c>
      <x:c r="E77" s="13" t="n">
        <x:v>28.79999696</x:v>
      </x:c>
      <x:c r="F77" t="str">
        <x:v>Gr0703</x:v>
      </x:c>
      <x:c r="G77" s="12" t="n">
        <x:v>46215</x:v>
      </x:c>
      <x:c r="H77" s="13" t="n">
        <x:v>28.79999696</x:v>
      </x:c>
      <x:c r="I77"/>
      <x:c r="J77" s="12"/>
      <x:c r="K77" s="13"/>
      <x:c r="L77"/>
      <x:c r="M77" s="12"/>
      <x:c r="N77" s="13"/>
      <x:c r="O77" s="13" t="n">
        <x:f t="shared" si="6"/>
        <x:v>28.79999696</x:v>
      </x:c>
      <x:c r="P77" s="13" t="n">
        <x:f t="shared" si="7"/>
        <x:v>0</x:v>
      </x:c>
      <x:c r="Q77" t="str">
        <x:f t="shared" si="8"/>
        <x:v>OK</x:v>
      </x:c>
    </x:row>
    <x:row r="78">
      <x:c r="A78" s="12" t="n">
        <x:v>46211</x:v>
      </x:c>
      <x:c r="B78" t="str">
        <x:v>Trapus šakotis</x:v>
      </x:c>
      <x:c r="C78" t="str">
        <x:v>L286</x:v>
      </x:c>
      <x:c r="D78" t="str">
        <x:v>Kiaušiniai</x:v>
      </x:c>
      <x:c r="E78" s="13" t="n">
        <x:v>39.9999936</x:v>
      </x:c>
      <x:c r="F78" t="str">
        <x:v>K0630</x:v>
      </x:c>
      <x:c r="G78" s="12" t="n">
        <x:v>46218</x:v>
      </x:c>
      <x:c r="H78" s="13" t="n">
        <x:v>39.9999936</x:v>
      </x:c>
      <x:c r="I78"/>
      <x:c r="J78" s="12"/>
      <x:c r="K78" s="13"/>
      <x:c r="L78"/>
      <x:c r="M78" s="12"/>
      <x:c r="N78" s="13"/>
      <x:c r="O78" s="13" t="n">
        <x:f t="shared" si="6"/>
        <x:v>39.9999936</x:v>
      </x:c>
      <x:c r="P78" s="13" t="n">
        <x:f t="shared" si="7"/>
        <x:v>0</x:v>
      </x:c>
      <x:c r="Q78" t="str">
        <x:f t="shared" si="8"/>
        <x:v>OK</x:v>
      </x:c>
    </x:row>
    <x:row r="79">
      <x:c r="A79" s="12" t="n">
        <x:v>46211</x:v>
      </x:c>
      <x:c r="B79" t="str">
        <x:v>Trapus šakotis</x:v>
      </x:c>
      <x:c r="C79" t="str">
        <x:v>L286</x:v>
      </x:c>
      <x:c r="D79" t="str">
        <x:v>Cukrus</x:v>
      </x:c>
      <x:c r="E79" s="13" t="n">
        <x:v>23.999996160000002</x:v>
      </x:c>
      <x:c r="F79" t="str">
        <x:v>Cuk0630</x:v>
      </x:c>
      <x:c r="G79" s="12" t="n">
        <x:v>46388</x:v>
      </x:c>
      <x:c r="H79" s="13" t="n">
        <x:v>23.999996160000002</x:v>
      </x:c>
      <x:c r="I79"/>
      <x:c r="J79" s="12"/>
      <x:c r="K79" s="13"/>
      <x:c r="L79"/>
      <x:c r="M79" s="12"/>
      <x:c r="N79" s="13"/>
      <x:c r="O79" s="13" t="n">
        <x:f t="shared" si="6"/>
        <x:v>23.999996160000002</x:v>
      </x:c>
      <x:c r="P79" s="13" t="n">
        <x:f t="shared" si="7"/>
        <x:v>0</x:v>
      </x:c>
      <x:c r="Q79" t="str">
        <x:f t="shared" si="8"/>
        <x:v>OK</x:v>
      </x:c>
    </x:row>
    <x:row r="80">
      <x:c r="A80" s="12" t="n">
        <x:v>46211</x:v>
      </x:c>
      <x:c r="B80" t="str">
        <x:v>Trapus šakotis</x:v>
      </x:c>
      <x:c r="C80" t="str">
        <x:v>L286</x:v>
      </x:c>
      <x:c r="D80" t="str">
        <x:v>Margarinas trapiam "IEVA"</x:v>
      </x:c>
      <x:c r="E80" s="13" t="n">
        <x:v>28.319961600000003</x:v>
      </x:c>
      <x:c r="F80" t="str">
        <x:v>MarI0630</x:v>
      </x:c>
      <x:c r="G80" s="12" t="n">
        <x:v>46336</x:v>
      </x:c>
      <x:c r="H80" s="13" t="n">
        <x:v>28.319961600000003</x:v>
      </x:c>
      <x:c r="I80"/>
      <x:c r="J80" s="12"/>
      <x:c r="K80" s="13"/>
      <x:c r="L80"/>
      <x:c r="M80" s="12"/>
      <x:c r="N80" s="13"/>
      <x:c r="O80" s="13" t="n">
        <x:f t="shared" si="6"/>
        <x:v>28.319961600000003</x:v>
      </x:c>
      <x:c r="P80" s="13" t="n">
        <x:f t="shared" si="7"/>
        <x:v>0</x:v>
      </x:c>
      <x:c r="Q80" t="str">
        <x:f t="shared" si="8"/>
        <x:v>OK</x:v>
      </x:c>
    </x:row>
    <x:row r="81">
      <x:c r="A81" s="12" t="n">
        <x:v>46211</x:v>
      </x:c>
      <x:c r="B81" t="str">
        <x:v>Trapus šakotis</x:v>
      </x:c>
      <x:c r="C81" t="str">
        <x:v>L286</x:v>
      </x:c>
      <x:c r="D81"/>
      <x:c r="E81" s="13"/>
      <x:c r="F81"/>
      <x:c r="G81" s="12"/>
      <x:c r="H81" s="13"/>
      <x:c r="I81"/>
      <x:c r="J81" s="12"/>
      <x:c r="K81" s="13"/>
      <x:c r="L81"/>
      <x:c r="M81" s="12"/>
      <x:c r="N81" s="13"/>
      <x:c r="O81" s="13">
        <x:f t="shared" si="6"/>
      </x:c>
      <x:c r="P81" s="13">
        <x:f t="shared" si="7"/>
      </x:c>
      <x:c r="Q81">
        <x:f t="shared" si="8"/>
      </x:c>
    </x:row>
    <x:row r="82">
      <x:c r="A82" s="12" t="n">
        <x:v>46211</x:v>
      </x:c>
      <x:c r="B82" t="str">
        <x:v>Trapus šakotis</x:v>
      </x:c>
      <x:c r="C82" t="str">
        <x:v>L286</x:v>
      </x:c>
      <x:c r="D82"/>
      <x:c r="E82" s="13"/>
      <x:c r="F82"/>
      <x:c r="G82" s="12"/>
      <x:c r="H82" s="13"/>
      <x:c r="I82"/>
      <x:c r="J82" s="12"/>
      <x:c r="K82" s="13"/>
      <x:c r="L82"/>
      <x:c r="M82" s="12"/>
      <x:c r="N82" s="13"/>
      <x:c r="O82" s="13">
        <x:f t="shared" si="6"/>
      </x:c>
      <x:c r="P82" s="13">
        <x:f t="shared" si="7"/>
      </x:c>
      <x:c r="Q82">
        <x:f t="shared" si="8"/>
      </x:c>
    </x:row>
    <x:row r="83">
      <x:c r="A83" s="12" t="n">
        <x:v>46211</x:v>
      </x:c>
      <x:c r="B83" t="str">
        <x:v>Trapus šakotis</x:v>
      </x:c>
      <x:c r="C83" t="str">
        <x:v>L286</x:v>
      </x:c>
      <x:c r="D83"/>
      <x:c r="E83" s="13"/>
      <x:c r="F83"/>
      <x:c r="G83" s="12"/>
      <x:c r="H83" s="13"/>
      <x:c r="I83"/>
      <x:c r="J83" s="12"/>
      <x:c r="K83" s="13"/>
      <x:c r="L83"/>
      <x:c r="M83" s="12"/>
      <x:c r="N83" s="13"/>
      <x:c r="O83" s="13">
        <x:f t="shared" si="6"/>
      </x:c>
      <x:c r="P83" s="13">
        <x:f t="shared" si="7"/>
      </x:c>
      <x:c r="Q83">
        <x:f t="shared" si="8"/>
      </x:c>
    </x:row>
    <x:row r="84">
      <x:c r="A84" s="12" t="n">
        <x:v>46212</x:v>
      </x:c>
      <x:c r="B84" t="str">
        <x:v>Šakotis</x:v>
      </x:c>
      <x:c r="C84" t="str">
        <x:v>L286</x:v>
      </x:c>
      <x:c r="D84" t="str">
        <x:v>Miltai</x:v>
      </x:c>
      <x:c r="E84" s="13" t="n">
        <x:v>71.99998848</x:v>
      </x:c>
      <x:c r="F84" t="str">
        <x:v>Mil0630</x:v>
      </x:c>
      <x:c r="G84" s="12" t="n">
        <x:v>46419</x:v>
      </x:c>
      <x:c r="H84" s="13" t="n">
        <x:v>71.99998848</x:v>
      </x:c>
      <x:c r="I84"/>
      <x:c r="J84" s="12"/>
      <x:c r="K84" s="13"/>
      <x:c r="L84"/>
      <x:c r="M84" s="12"/>
      <x:c r="N84" s="13"/>
      <x:c r="O84" s="13" t="n">
        <x:f t="shared" si="6"/>
        <x:v>71.99998848</x:v>
      </x:c>
      <x:c r="P84" s="13" t="n">
        <x:f t="shared" si="7"/>
        <x:v>0</x:v>
      </x:c>
      <x:c r="Q84" t="str">
        <x:f t="shared" si="8"/>
        <x:v>OK</x:v>
      </x:c>
    </x:row>
    <x:row r="85">
      <x:c r="A85" s="12" t="n">
        <x:v>46212</x:v>
      </x:c>
      <x:c r="B85" t="str">
        <x:v>Šakotis</x:v>
      </x:c>
      <x:c r="C85" t="str">
        <x:v>L286</x:v>
      </x:c>
      <x:c r="D85" t="str">
        <x:v>Pienas</x:v>
      </x:c>
      <x:c r="E85" s="13" t="n">
        <x:v>26.99999568</x:v>
      </x:c>
      <x:c r="F85" t="str">
        <x:v>P0703</x:v>
      </x:c>
      <x:c r="G85" s="12" t="n">
        <x:v>46213</x:v>
      </x:c>
      <x:c r="H85" s="13" t="n">
        <x:v>26.99999568</x:v>
      </x:c>
      <x:c r="I85"/>
      <x:c r="J85" s="12"/>
      <x:c r="K85" s="13"/>
      <x:c r="L85"/>
      <x:c r="M85" s="12"/>
      <x:c r="N85" s="13"/>
      <x:c r="O85" s="13" t="n">
        <x:f t="shared" si="6"/>
        <x:v>26.99999568</x:v>
      </x:c>
      <x:c r="P85" s="13" t="n">
        <x:f t="shared" si="7"/>
        <x:v>0</x:v>
      </x:c>
      <x:c r="Q85" t="str">
        <x:f t="shared" si="8"/>
        <x:v>OK</x:v>
      </x:c>
    </x:row>
    <x:row r="86">
      <x:c r="A86" s="12" t="n">
        <x:v>46212</x:v>
      </x:c>
      <x:c r="B86" t="str">
        <x:v>Šakotis</x:v>
      </x:c>
      <x:c r="C86" t="str">
        <x:v>L286</x:v>
      </x:c>
      <x:c r="D86" t="str">
        <x:v>Kiaušiniai</x:v>
      </x:c>
      <x:c r="E86" s="13" t="n">
        <x:v>98.9999136</x:v>
      </x:c>
      <x:c r="F86" t="str">
        <x:v>K0630</x:v>
      </x:c>
      <x:c r="G86" s="12" t="n">
        <x:v>46218</x:v>
      </x:c>
      <x:c r="H86" s="13" t="n">
        <x:v>98.9999136</x:v>
      </x:c>
      <x:c r="I86"/>
      <x:c r="J86" s="12"/>
      <x:c r="K86" s="13"/>
      <x:c r="L86"/>
      <x:c r="M86" s="12"/>
      <x:c r="N86" s="13"/>
      <x:c r="O86" s="13" t="n">
        <x:f t="shared" si="6"/>
        <x:v>98.9999136</x:v>
      </x:c>
      <x:c r="P86" s="13" t="n">
        <x:f t="shared" si="7"/>
        <x:v>0</x:v>
      </x:c>
      <x:c r="Q86" t="str">
        <x:f t="shared" si="8"/>
        <x:v>OK</x:v>
      </x:c>
    </x:row>
    <x:row r="87">
      <x:c r="A87" s="12" t="n">
        <x:v>46212</x:v>
      </x:c>
      <x:c r="B87" t="str">
        <x:v>Šakotis</x:v>
      </x:c>
      <x:c r="C87" t="str">
        <x:v>L286</x:v>
      </x:c>
      <x:c r="D87" t="str">
        <x:v>Cukrus</x:v>
      </x:c>
      <x:c r="E87" s="13" t="n">
        <x:v>53.99999136</x:v>
      </x:c>
      <x:c r="F87" t="str">
        <x:v>Cuk0630</x:v>
      </x:c>
      <x:c r="G87" s="12" t="n">
        <x:v>46388</x:v>
      </x:c>
      <x:c r="H87" s="13" t="n">
        <x:v>53.99999136</x:v>
      </x:c>
      <x:c r="I87"/>
      <x:c r="J87" s="12"/>
      <x:c r="K87" s="13"/>
      <x:c r="L87"/>
      <x:c r="M87" s="12"/>
      <x:c r="N87" s="13"/>
      <x:c r="O87" s="13" t="n">
        <x:f t="shared" si="6"/>
        <x:v>53.99999136</x:v>
      </x:c>
      <x:c r="P87" s="13" t="n">
        <x:f t="shared" si="7"/>
        <x:v>0</x:v>
      </x:c>
      <x:c r="Q87" t="str">
        <x:f t="shared" si="8"/>
        <x:v>OK</x:v>
      </x:c>
    </x:row>
    <x:row r="88">
      <x:c r="A88" s="12" t="n">
        <x:v>46212</x:v>
      </x:c>
      <x:c r="B88" t="str">
        <x:v>Šakotis</x:v>
      </x:c>
      <x:c r="C88" t="str">
        <x:v>L286</x:v>
      </x:c>
      <x:c r="D88" t="str">
        <x:v>Margarinas Šakočiui "Alvas"</x:v>
      </x:c>
      <x:c r="E88" s="13" t="n">
        <x:v>53.99999136</x:v>
      </x:c>
      <x:c r="F88" t="str">
        <x:v>MarA0630</x:v>
      </x:c>
      <x:c r="G88" s="12" t="n">
        <x:v>46306</x:v>
      </x:c>
      <x:c r="H88" s="13" t="n">
        <x:v>53.99999136</x:v>
      </x:c>
      <x:c r="I88"/>
      <x:c r="J88" s="12"/>
      <x:c r="K88" s="13"/>
      <x:c r="L88"/>
      <x:c r="M88" s="12"/>
      <x:c r="N88" s="13"/>
      <x:c r="O88" s="13" t="n">
        <x:f t="shared" si="6"/>
        <x:v>53.99999136</x:v>
      </x:c>
      <x:c r="P88" s="13" t="n">
        <x:f t="shared" si="7"/>
        <x:v>0</x:v>
      </x:c>
      <x:c r="Q88" t="str">
        <x:f t="shared" si="8"/>
        <x:v>OK</x:v>
      </x:c>
    </x:row>
    <x:row r="89">
      <x:c r="A89" s="12" t="n">
        <x:v>46212</x:v>
      </x:c>
      <x:c r="B89" t="str">
        <x:v>Šakotis</x:v>
      </x:c>
      <x:c r="C89" t="str">
        <x:v>L286</x:v>
      </x:c>
      <x:c r="D89" t="str">
        <x:v>Kvapnioji medžiaga</x:v>
      </x:c>
      <x:c r="E89" s="13" t="n">
        <x:v>0.17999856000000003</x:v>
      </x:c>
      <x:c r="F89" t="str">
        <x:v>Kvp0630</x:v>
      </x:c>
      <x:c r="G89" s="12" t="n">
        <x:v>46388</x:v>
      </x:c>
      <x:c r="H89" s="13" t="n">
        <x:v>0.17999856000000003</x:v>
      </x:c>
      <x:c r="I89"/>
      <x:c r="J89" s="12"/>
      <x:c r="K89" s="13"/>
      <x:c r="L89"/>
      <x:c r="M89" s="12"/>
      <x:c r="N89" s="13"/>
      <x:c r="O89" s="13" t="n">
        <x:f t="shared" si="6"/>
        <x:v>0.17999856000000003</x:v>
      </x:c>
      <x:c r="P89" s="13" t="n">
        <x:f t="shared" si="7"/>
        <x:v>0</x:v>
      </x:c>
      <x:c r="Q89" t="str">
        <x:f t="shared" si="8"/>
        <x:v>OK</x:v>
      </x:c>
    </x:row>
    <x:row r="90">
      <x:c r="A90" s="12" t="n">
        <x:v>46212</x:v>
      </x:c>
      <x:c r="B90" t="str">
        <x:v>Šakotis</x:v>
      </x:c>
      <x:c r="C90" t="str">
        <x:v>L286</x:v>
      </x:c>
      <x:c r="D90" t="str">
        <x:v>Ciberžolė</x:v>
      </x:c>
      <x:c r="E90" s="13" t="n">
        <x:v>0.6299949600000001</x:v>
      </x:c>
      <x:c r="F90" t="str">
        <x:v>Cib0630</x:v>
      </x:c>
      <x:c r="G90" s="12" t="n">
        <x:v>46573</x:v>
      </x:c>
      <x:c r="H90" s="13" t="n">
        <x:v>0.6299949600000001</x:v>
      </x:c>
      <x:c r="I90"/>
      <x:c r="J90" s="12"/>
      <x:c r="K90" s="13"/>
      <x:c r="L90"/>
      <x:c r="M90" s="12"/>
      <x:c r="N90" s="13"/>
      <x:c r="O90" s="13" t="n">
        <x:f t="shared" si="6"/>
        <x:v>0.6299949600000001</x:v>
      </x:c>
      <x:c r="P90" s="13" t="n">
        <x:f t="shared" si="7"/>
        <x:v>0</x:v>
      </x:c>
      <x:c r="Q90" t="str">
        <x:f t="shared" si="8"/>
        <x:v>OK</x:v>
      </x:c>
    </x:row>
    <x:row r="91">
      <x:c r="A91" s="12" t="n">
        <x:v>46212</x:v>
      </x:c>
      <x:c r="B91" t="str">
        <x:v>Šakotis</x:v>
      </x:c>
      <x:c r="C91" t="str">
        <x:v>L286</x:v>
      </x:c>
      <x:c r="D91" t="str">
        <x:v>Vanduo</x:v>
      </x:c>
      <x:c r="E91" s="13" t="n">
        <x:v>8.9983404</x:v>
      </x:c>
      <x:c r="F91" t="str">
        <x:v>Netaikoma</x:v>
      </x:c>
      <x:c r="G91" s="12"/>
      <x:c r="H91" s="13" t="n">
        <x:v>8.9983404</x:v>
      </x:c>
      <x:c r="I91"/>
      <x:c r="J91" s="12"/>
      <x:c r="K91" s="13"/>
      <x:c r="L91"/>
      <x:c r="M91" s="12"/>
      <x:c r="N91" s="13"/>
      <x:c r="O91" s="13" t="n">
        <x:f t="shared" si="6"/>
        <x:v>8.9983404</x:v>
      </x:c>
      <x:c r="P91" s="13" t="n">
        <x:f t="shared" si="7"/>
        <x:v>0</x:v>
      </x:c>
      <x:c r="Q91" t="str">
        <x:f t="shared" si="8"/>
        <x:v>OK</x:v>
      </x:c>
    </x:row>
    <x:row r="92">
      <x:c r="A92" s="12" t="n">
        <x:v>46212</x:v>
      </x:c>
      <x:c r="B92" t="str">
        <x:v>Trapus šakotis</x:v>
      </x:c>
      <x:c r="C92" t="str">
        <x:v>L286</x:v>
      </x:c>
      <x:c r="D92" t="str">
        <x:v>Miltai</x:v>
      </x:c>
      <x:c r="E92" s="13" t="n">
        <x:v>79.9999872</x:v>
      </x:c>
      <x:c r="F92" t="str">
        <x:v>Mil0630</x:v>
      </x:c>
      <x:c r="G92" s="12" t="n">
        <x:v>46419</x:v>
      </x:c>
      <x:c r="H92" s="13" t="n">
        <x:v>79.9999872</x:v>
      </x:c>
      <x:c r="I92"/>
      <x:c r="J92" s="12"/>
      <x:c r="K92" s="13"/>
      <x:c r="L92"/>
      <x:c r="M92" s="12"/>
      <x:c r="N92" s="13"/>
      <x:c r="O92" s="13" t="n">
        <x:f t="shared" si="6"/>
        <x:v>79.9999872</x:v>
      </x:c>
      <x:c r="P92" s="13" t="n">
        <x:f t="shared" si="7"/>
        <x:v>0</x:v>
      </x:c>
      <x:c r="Q92" t="str">
        <x:f t="shared" si="8"/>
        <x:v>OK</x:v>
      </x:c>
    </x:row>
    <x:row r="93">
      <x:c r="A93" s="12" t="n">
        <x:v>46212</x:v>
      </x:c>
      <x:c r="B93" t="str">
        <x:v>Trapus šakotis</x:v>
      </x:c>
      <x:c r="C93" t="str">
        <x:v>L286</x:v>
      </x:c>
      <x:c r="D93" t="str">
        <x:v>Grietinės mišinys</x:v>
      </x:c>
      <x:c r="E93" s="13" t="n">
        <x:v>57.59999392</x:v>
      </x:c>
      <x:c r="F93" t="str">
        <x:v>Gr0703</x:v>
      </x:c>
      <x:c r="G93" s="12" t="n">
        <x:v>46215</x:v>
      </x:c>
      <x:c r="H93" s="13" t="n">
        <x:v>57.59999392</x:v>
      </x:c>
      <x:c r="I93"/>
      <x:c r="J93" s="12"/>
      <x:c r="K93" s="13"/>
      <x:c r="L93"/>
      <x:c r="M93" s="12"/>
      <x:c r="N93" s="13"/>
      <x:c r="O93" s="13" t="n">
        <x:f t="shared" si="6"/>
        <x:v>57.59999392</x:v>
      </x:c>
      <x:c r="P93" s="13" t="n">
        <x:f t="shared" si="7"/>
        <x:v>0</x:v>
      </x:c>
      <x:c r="Q93" t="str">
        <x:f t="shared" si="8"/>
        <x:v>OK</x:v>
      </x:c>
    </x:row>
    <x:row r="94">
      <x:c r="A94" s="12" t="n">
        <x:v>46212</x:v>
      </x:c>
      <x:c r="B94" t="str">
        <x:v>Trapus šakotis</x:v>
      </x:c>
      <x:c r="C94" t="str">
        <x:v>L286</x:v>
      </x:c>
      <x:c r="D94" t="str">
        <x:v>Kiaušiniai</x:v>
      </x:c>
      <x:c r="E94" s="13" t="n">
        <x:v>79.9999872</x:v>
      </x:c>
      <x:c r="F94" t="str">
        <x:v>K0630</x:v>
      </x:c>
      <x:c r="G94" s="12" t="n">
        <x:v>46218</x:v>
      </x:c>
      <x:c r="H94" s="13" t="n">
        <x:v>79.9999872</x:v>
      </x:c>
      <x:c r="I94"/>
      <x:c r="J94" s="12"/>
      <x:c r="K94" s="13"/>
      <x:c r="L94"/>
      <x:c r="M94" s="12"/>
      <x:c r="N94" s="13"/>
      <x:c r="O94" s="13" t="n">
        <x:f t="shared" si="6"/>
        <x:v>79.9999872</x:v>
      </x:c>
      <x:c r="P94" s="13" t="n">
        <x:f t="shared" si="7"/>
        <x:v>0</x:v>
      </x:c>
      <x:c r="Q94" t="str">
        <x:f t="shared" si="8"/>
        <x:v>OK</x:v>
      </x:c>
    </x:row>
    <x:row r="95">
      <x:c r="A95" s="12" t="n">
        <x:v>46212</x:v>
      </x:c>
      <x:c r="B95" t="str">
        <x:v>Trapus šakotis</x:v>
      </x:c>
      <x:c r="C95" t="str">
        <x:v>L286</x:v>
      </x:c>
      <x:c r="D95" t="str">
        <x:v>Cukrus</x:v>
      </x:c>
      <x:c r="E95" s="13" t="n">
        <x:v>47.999992320000004</x:v>
      </x:c>
      <x:c r="F95" t="str">
        <x:v>Cuk0630</x:v>
      </x:c>
      <x:c r="G95" s="12" t="n">
        <x:v>46388</x:v>
      </x:c>
      <x:c r="H95" s="13" t="n">
        <x:v>47.999992320000004</x:v>
      </x:c>
      <x:c r="I95"/>
      <x:c r="J95" s="12"/>
      <x:c r="K95" s="13"/>
      <x:c r="L95"/>
      <x:c r="M95" s="12"/>
      <x:c r="N95" s="13"/>
      <x:c r="O95" s="13" t="n">
        <x:f t="shared" si="6"/>
        <x:v>47.999992320000004</x:v>
      </x:c>
      <x:c r="P95" s="13" t="n">
        <x:f t="shared" si="7"/>
        <x:v>0</x:v>
      </x:c>
      <x:c r="Q95" t="str">
        <x:f t="shared" si="8"/>
        <x:v>OK</x:v>
      </x:c>
    </x:row>
    <x:row r="96">
      <x:c r="A96" s="12" t="n">
        <x:v>46212</x:v>
      </x:c>
      <x:c r="B96" t="str">
        <x:v>Trapus šakotis</x:v>
      </x:c>
      <x:c r="C96" t="str">
        <x:v>L286</x:v>
      </x:c>
      <x:c r="D96" t="str">
        <x:v>Margarinas trapiam "IEVA"</x:v>
      </x:c>
      <x:c r="E96" s="13" t="n">
        <x:v>56.639923200000005</x:v>
      </x:c>
      <x:c r="F96" t="str">
        <x:v>MarI0630</x:v>
      </x:c>
      <x:c r="G96" s="12" t="n">
        <x:v>46336</x:v>
      </x:c>
      <x:c r="H96" s="13" t="n">
        <x:v>56.639923200000005</x:v>
      </x:c>
      <x:c r="I96"/>
      <x:c r="J96" s="12"/>
      <x:c r="K96" s="13"/>
      <x:c r="L96"/>
      <x:c r="M96" s="12"/>
      <x:c r="N96" s="13"/>
      <x:c r="O96" s="13" t="n">
        <x:f t="shared" si="6"/>
        <x:v>56.639923200000005</x:v>
      </x:c>
      <x:c r="P96" s="13" t="n">
        <x:f t="shared" si="7"/>
        <x:v>0</x:v>
      </x:c>
      <x:c r="Q96" t="str">
        <x:f t="shared" si="8"/>
        <x:v>OK</x:v>
      </x:c>
    </x:row>
    <x:row r="97">
      <x:c r="A97" s="12" t="n">
        <x:v>46212</x:v>
      </x:c>
      <x:c r="B97" t="str">
        <x:v>Trapus šakotis</x:v>
      </x:c>
      <x:c r="C97" t="str">
        <x:v>L286</x:v>
      </x:c>
      <x:c r="D97"/>
      <x:c r="E97" s="13"/>
      <x:c r="F97"/>
      <x:c r="G97" s="12"/>
      <x:c r="H97" s="13"/>
      <x:c r="I97"/>
      <x:c r="J97" s="12"/>
      <x:c r="K97" s="13"/>
      <x:c r="L97"/>
      <x:c r="M97" s="12"/>
      <x:c r="N97" s="13"/>
      <x:c r="O97" s="13">
        <x:f t="shared" si="6"/>
      </x:c>
      <x:c r="P97" s="13">
        <x:f t="shared" si="7"/>
      </x:c>
      <x:c r="Q97">
        <x:f t="shared" si="8"/>
      </x:c>
    </x:row>
    <x:row r="98">
      <x:c r="A98" s="12" t="n">
        <x:v>46212</x:v>
      </x:c>
      <x:c r="B98" t="str">
        <x:v>Trapus šakotis</x:v>
      </x:c>
      <x:c r="C98" t="str">
        <x:v>L286</x:v>
      </x:c>
      <x:c r="D98"/>
      <x:c r="E98" s="13"/>
      <x:c r="F98"/>
      <x:c r="G98" s="12"/>
      <x:c r="H98" s="13"/>
      <x:c r="I98"/>
      <x:c r="J98" s="12"/>
      <x:c r="K98" s="13"/>
      <x:c r="L98"/>
      <x:c r="M98" s="12"/>
      <x:c r="N98" s="13"/>
      <x:c r="O98" s="13">
        <x:f t="shared" si="6"/>
      </x:c>
      <x:c r="P98" s="13">
        <x:f t="shared" si="7"/>
      </x:c>
      <x:c r="Q98">
        <x:f t="shared" si="8"/>
      </x:c>
    </x:row>
    <x:row r="99">
      <x:c r="A99" s="12" t="n">
        <x:v>46212</x:v>
      </x:c>
      <x:c r="B99" t="str">
        <x:v>Trapus šakotis</x:v>
      </x:c>
      <x:c r="C99" t="str">
        <x:v>L286</x:v>
      </x:c>
      <x:c r="D99"/>
      <x:c r="E99" s="13"/>
      <x:c r="F99"/>
      <x:c r="G99" s="12"/>
      <x:c r="H99" s="13"/>
      <x:c r="I99"/>
      <x:c r="J99" s="12"/>
      <x:c r="K99" s="13"/>
      <x:c r="L99"/>
      <x:c r="M99" s="12"/>
      <x:c r="N99" s="13"/>
      <x:c r="O99" s="13">
        <x:f t="shared" si="6"/>
      </x:c>
      <x:c r="P99" s="13">
        <x:f t="shared" si="7"/>
      </x:c>
      <x:c r="Q99">
        <x:f t="shared" si="8"/>
      </x:c>
    </x:row>
    <x:row r="100">
      <x:c r="A100" s="12" t="n">
        <x:v>46213</x:v>
      </x:c>
      <x:c r="B100" t="str">
        <x:v>Šakotis</x:v>
      </x:c>
      <x:c r="C100" t="str">
        <x:v>L286</x:v>
      </x:c>
      <x:c r="D100" t="str">
        <x:v>Miltai</x:v>
      </x:c>
      <x:c r="E100" s="13" t="n">
        <x:v>39.9999936</x:v>
      </x:c>
      <x:c r="F100" t="str">
        <x:v>Mil0630</x:v>
      </x:c>
      <x:c r="G100" s="12" t="n">
        <x:v>46419</x:v>
      </x:c>
      <x:c r="H100" s="13" t="n">
        <x:v>39.9999936</x:v>
      </x:c>
      <x:c r="I100"/>
      <x:c r="J100" s="12"/>
      <x:c r="K100" s="13"/>
      <x:c r="L100"/>
      <x:c r="M100" s="12"/>
      <x:c r="N100" s="13"/>
      <x:c r="O100" s="13" t="n">
        <x:f t="shared" ref="O100:O131" si="9">IF($D100="","",SUM($H100,$K100,$N100))</x:f>
        <x:v>39.9999936</x:v>
      </x:c>
      <x:c r="P100" s="13" t="n">
        <x:f t="shared" ref="P100:P131" si="10">IF($D100="","",MAX(0,$E100-$O100))</x:f>
        <x:v>0</x:v>
      </x:c>
      <x:c r="Q100" t="str">
        <x:f t="shared" ref="Q100:Q131" si="11">IF($D100="","",IF($E100=0,"TRŪKSTA RECEPTŪROS NORMOS",IF($P100&lt;0.001,"OK","TRŪKSTA / NĖRA GALIOJANČIOS PARTIJOS")))</x:f>
        <x:v>OK</x:v>
      </x:c>
    </x:row>
    <x:row r="101">
      <x:c r="A101" s="12" t="n">
        <x:v>46213</x:v>
      </x:c>
      <x:c r="B101" t="str">
        <x:v>Šakotis</x:v>
      </x:c>
      <x:c r="C101" t="str">
        <x:v>L286</x:v>
      </x:c>
      <x:c r="D101" t="str">
        <x:v>Pienas</x:v>
      </x:c>
      <x:c r="E101" s="13" t="n">
        <x:v>14.9999976</x:v>
      </x:c>
      <x:c r="F101" t="str">
        <x:v>P0703</x:v>
      </x:c>
      <x:c r="G101" s="12" t="n">
        <x:v>46213</x:v>
      </x:c>
      <x:c r="H101" s="13" t="n">
        <x:v>14.9999976</x:v>
      </x:c>
      <x:c r="I101"/>
      <x:c r="J101" s="12"/>
      <x:c r="K101" s="13"/>
      <x:c r="L101"/>
      <x:c r="M101" s="12"/>
      <x:c r="N101" s="13"/>
      <x:c r="O101" s="13" t="n">
        <x:f t="shared" si="9"/>
        <x:v>14.9999976</x:v>
      </x:c>
      <x:c r="P101" s="13" t="n">
        <x:f t="shared" si="10"/>
        <x:v>0</x:v>
      </x:c>
      <x:c r="Q101" t="str">
        <x:f t="shared" si="11"/>
        <x:v>OK</x:v>
      </x:c>
    </x:row>
    <x:row r="102">
      <x:c r="A102" s="12" t="n">
        <x:v>46213</x:v>
      </x:c>
      <x:c r="B102" t="str">
        <x:v>Šakotis</x:v>
      </x:c>
      <x:c r="C102" t="str">
        <x:v>L286</x:v>
      </x:c>
      <x:c r="D102" t="str">
        <x:v>Kiaušiniai</x:v>
      </x:c>
      <x:c r="E102" s="13" t="n">
        <x:v>54.99995199999999</x:v>
      </x:c>
      <x:c r="F102" t="str">
        <x:v>K0630</x:v>
      </x:c>
      <x:c r="G102" s="12" t="n">
        <x:v>46218</x:v>
      </x:c>
      <x:c r="H102" s="13" t="n">
        <x:v>54.99995199999999</x:v>
      </x:c>
      <x:c r="I102"/>
      <x:c r="J102" s="12"/>
      <x:c r="K102" s="13"/>
      <x:c r="L102"/>
      <x:c r="M102" s="12"/>
      <x:c r="N102" s="13"/>
      <x:c r="O102" s="13" t="n">
        <x:f t="shared" si="9"/>
        <x:v>54.99995199999999</x:v>
      </x:c>
      <x:c r="P102" s="13" t="n">
        <x:f t="shared" si="10"/>
        <x:v>0</x:v>
      </x:c>
      <x:c r="Q102" t="str">
        <x:f t="shared" si="11"/>
        <x:v>OK</x:v>
      </x:c>
    </x:row>
    <x:row r="103">
      <x:c r="A103" s="12" t="n">
        <x:v>46213</x:v>
      </x:c>
      <x:c r="B103" t="str">
        <x:v>Šakotis</x:v>
      </x:c>
      <x:c r="C103" t="str">
        <x:v>L286</x:v>
      </x:c>
      <x:c r="D103" t="str">
        <x:v>Cukrus</x:v>
      </x:c>
      <x:c r="E103" s="13" t="n">
        <x:v>29.9999952</x:v>
      </x:c>
      <x:c r="F103" t="str">
        <x:v>Cuk0630</x:v>
      </x:c>
      <x:c r="G103" s="12" t="n">
        <x:v>46388</x:v>
      </x:c>
      <x:c r="H103" s="13" t="n">
        <x:v>29.9999952</x:v>
      </x:c>
      <x:c r="I103"/>
      <x:c r="J103" s="12"/>
      <x:c r="K103" s="13"/>
      <x:c r="L103"/>
      <x:c r="M103" s="12"/>
      <x:c r="N103" s="13"/>
      <x:c r="O103" s="13" t="n">
        <x:f t="shared" si="9"/>
        <x:v>29.9999952</x:v>
      </x:c>
      <x:c r="P103" s="13" t="n">
        <x:f t="shared" si="10"/>
        <x:v>0</x:v>
      </x:c>
      <x:c r="Q103" t="str">
        <x:f t="shared" si="11"/>
        <x:v>OK</x:v>
      </x:c>
    </x:row>
    <x:row r="104">
      <x:c r="A104" s="12" t="n">
        <x:v>46213</x:v>
      </x:c>
      <x:c r="B104" t="str">
        <x:v>Šakotis</x:v>
      </x:c>
      <x:c r="C104" t="str">
        <x:v>L286</x:v>
      </x:c>
      <x:c r="D104" t="str">
        <x:v>Margarinas Šakočiui "Alvas"</x:v>
      </x:c>
      <x:c r="E104" s="13" t="n">
        <x:v>29.9999952</x:v>
      </x:c>
      <x:c r="F104" t="str">
        <x:v>MarA0630</x:v>
      </x:c>
      <x:c r="G104" s="12" t="n">
        <x:v>46306</x:v>
      </x:c>
      <x:c r="H104" s="13" t="n">
        <x:v>29.9999952</x:v>
      </x:c>
      <x:c r="I104"/>
      <x:c r="J104" s="12"/>
      <x:c r="K104" s="13"/>
      <x:c r="L104"/>
      <x:c r="M104" s="12"/>
      <x:c r="N104" s="13"/>
      <x:c r="O104" s="13" t="n">
        <x:f t="shared" si="9"/>
        <x:v>29.9999952</x:v>
      </x:c>
      <x:c r="P104" s="13" t="n">
        <x:f t="shared" si="10"/>
        <x:v>0</x:v>
      </x:c>
      <x:c r="Q104" t="str">
        <x:f t="shared" si="11"/>
        <x:v>OK</x:v>
      </x:c>
    </x:row>
    <x:row r="105">
      <x:c r="A105" s="12" t="n">
        <x:v>46213</x:v>
      </x:c>
      <x:c r="B105" t="str">
        <x:v>Šakotis</x:v>
      </x:c>
      <x:c r="C105" t="str">
        <x:v>L286</x:v>
      </x:c>
      <x:c r="D105" t="str">
        <x:v>Kvapnioji medžiaga</x:v>
      </x:c>
      <x:c r="E105" s="13" t="n">
        <x:v>0.09999920000000001</x:v>
      </x:c>
      <x:c r="F105" t="str">
        <x:v>Kvp0630</x:v>
      </x:c>
      <x:c r="G105" s="12" t="n">
        <x:v>46388</x:v>
      </x:c>
      <x:c r="H105" s="13" t="n">
        <x:v>0.09999920000000001</x:v>
      </x:c>
      <x:c r="I105"/>
      <x:c r="J105" s="12"/>
      <x:c r="K105" s="13"/>
      <x:c r="L105"/>
      <x:c r="M105" s="12"/>
      <x:c r="N105" s="13"/>
      <x:c r="O105" s="13" t="n">
        <x:f t="shared" si="9"/>
        <x:v>0.09999920000000001</x:v>
      </x:c>
      <x:c r="P105" s="13" t="n">
        <x:f t="shared" si="10"/>
        <x:v>0</x:v>
      </x:c>
      <x:c r="Q105" t="str">
        <x:f t="shared" si="11"/>
        <x:v>OK</x:v>
      </x:c>
    </x:row>
    <x:row r="106">
      <x:c r="A106" s="12" t="n">
        <x:v>46213</x:v>
      </x:c>
      <x:c r="B106" t="str">
        <x:v>Šakotis</x:v>
      </x:c>
      <x:c r="C106" t="str">
        <x:v>L286</x:v>
      </x:c>
      <x:c r="D106" t="str">
        <x:v>Ciberžolė</x:v>
      </x:c>
      <x:c r="E106" s="13" t="n">
        <x:v>0.3499972</x:v>
      </x:c>
      <x:c r="F106" t="str">
        <x:v>Cib0630</x:v>
      </x:c>
      <x:c r="G106" s="12" t="n">
        <x:v>46573</x:v>
      </x:c>
      <x:c r="H106" s="13" t="n">
        <x:v>0.3499972</x:v>
      </x:c>
      <x:c r="I106"/>
      <x:c r="J106" s="12"/>
      <x:c r="K106" s="13"/>
      <x:c r="L106"/>
      <x:c r="M106" s="12"/>
      <x:c r="N106" s="13"/>
      <x:c r="O106" s="13" t="n">
        <x:f t="shared" si="9"/>
        <x:v>0.3499972</x:v>
      </x:c>
      <x:c r="P106" s="13" t="n">
        <x:f t="shared" si="10"/>
        <x:v>0</x:v>
      </x:c>
      <x:c r="Q106" t="str">
        <x:f t="shared" si="11"/>
        <x:v>OK</x:v>
      </x:c>
    </x:row>
    <x:row r="107">
      <x:c r="A107" s="12" t="n">
        <x:v>46213</x:v>
      </x:c>
      <x:c r="B107" t="str">
        <x:v>Šakotis</x:v>
      </x:c>
      <x:c r="C107" t="str">
        <x:v>L286</x:v>
      </x:c>
      <x:c r="D107" t="str">
        <x:v>Vanduo</x:v>
      </x:c>
      <x:c r="E107" s="13" t="n">
        <x:v>4.999078</x:v>
      </x:c>
      <x:c r="F107" t="str">
        <x:v>Netaikoma</x:v>
      </x:c>
      <x:c r="G107" s="12"/>
      <x:c r="H107" s="13" t="n">
        <x:v>4.999078</x:v>
      </x:c>
      <x:c r="I107"/>
      <x:c r="J107" s="12"/>
      <x:c r="K107" s="13"/>
      <x:c r="L107"/>
      <x:c r="M107" s="12"/>
      <x:c r="N107" s="13"/>
      <x:c r="O107" s="13" t="n">
        <x:f t="shared" si="9"/>
        <x:v>4.999078</x:v>
      </x:c>
      <x:c r="P107" s="13" t="n">
        <x:f t="shared" si="10"/>
        <x:v>0</x:v>
      </x:c>
      <x:c r="Q107" t="str">
        <x:f t="shared" si="11"/>
        <x:v>OK</x:v>
      </x:c>
    </x:row>
    <x:row r="108">
      <x:c r="A108" s="12" t="n">
        <x:v>46213</x:v>
      </x:c>
      <x:c r="B108" t="str">
        <x:v>Trapus šakotis</x:v>
      </x:c>
      <x:c r="C108" t="str">
        <x:v>L286</x:v>
      </x:c>
      <x:c r="D108" t="str">
        <x:v>Miltai</x:v>
      </x:c>
      <x:c r="E108" s="13" t="n">
        <x:v>89.9999856</x:v>
      </x:c>
      <x:c r="F108" t="str">
        <x:v>Mil0630</x:v>
      </x:c>
      <x:c r="G108" s="12" t="n">
        <x:v>46419</x:v>
      </x:c>
      <x:c r="H108" s="13" t="n">
        <x:v>89.9999856</x:v>
      </x:c>
      <x:c r="I108"/>
      <x:c r="J108" s="12"/>
      <x:c r="K108" s="13"/>
      <x:c r="L108"/>
      <x:c r="M108" s="12"/>
      <x:c r="N108" s="13"/>
      <x:c r="O108" s="13" t="n">
        <x:f t="shared" si="9"/>
        <x:v>89.9999856</x:v>
      </x:c>
      <x:c r="P108" s="13" t="n">
        <x:f t="shared" si="10"/>
        <x:v>0</x:v>
      </x:c>
      <x:c r="Q108" t="str">
        <x:f t="shared" si="11"/>
        <x:v>OK</x:v>
      </x:c>
    </x:row>
    <x:row r="109">
      <x:c r="A109" s="12" t="n">
        <x:v>46213</x:v>
      </x:c>
      <x:c r="B109" t="str">
        <x:v>Trapus šakotis</x:v>
      </x:c>
      <x:c r="C109" t="str">
        <x:v>L286</x:v>
      </x:c>
      <x:c r="D109" t="str">
        <x:v>Grietinės mišinys</x:v>
      </x:c>
      <x:c r="E109" s="13" t="n">
        <x:v>64.79999316</x:v>
      </x:c>
      <x:c r="F109" t="str">
        <x:v>Gr0703</x:v>
      </x:c>
      <x:c r="G109" s="12" t="n">
        <x:v>46215</x:v>
      </x:c>
      <x:c r="H109" s="13" t="n">
        <x:v>63.600009119999996</x:v>
      </x:c>
      <x:c r="I109" t="str">
        <x:v>Gr0710</x:v>
      </x:c>
      <x:c r="J109" s="12" t="n">
        <x:v>46221</x:v>
      </x:c>
      <x:c r="K109" s="13" t="n">
        <x:v>1.199984040000004</x:v>
      </x:c>
      <x:c r="L109"/>
      <x:c r="M109" s="12"/>
      <x:c r="N109" s="13"/>
      <x:c r="O109" s="13" t="n">
        <x:f t="shared" si="9"/>
        <x:v>64.79999316</x:v>
      </x:c>
      <x:c r="P109" s="13" t="n">
        <x:f t="shared" si="10"/>
        <x:v>0</x:v>
      </x:c>
      <x:c r="Q109" t="str">
        <x:f t="shared" si="11"/>
        <x:v>OK</x:v>
      </x:c>
    </x:row>
    <x:row r="110">
      <x:c r="A110" s="12" t="n">
        <x:v>46213</x:v>
      </x:c>
      <x:c r="B110" t="str">
        <x:v>Trapus šakotis</x:v>
      </x:c>
      <x:c r="C110" t="str">
        <x:v>L286</x:v>
      </x:c>
      <x:c r="D110" t="str">
        <x:v>Kiaušiniai</x:v>
      </x:c>
      <x:c r="E110" s="13" t="n">
        <x:v>89.9999856</x:v>
      </x:c>
      <x:c r="F110" t="str">
        <x:v>K0630</x:v>
      </x:c>
      <x:c r="G110" s="12" t="n">
        <x:v>46218</x:v>
      </x:c>
      <x:c r="H110" s="13" t="n">
        <x:v>89.9999856</x:v>
      </x:c>
      <x:c r="I110"/>
      <x:c r="J110" s="12"/>
      <x:c r="K110" s="13"/>
      <x:c r="L110"/>
      <x:c r="M110" s="12"/>
      <x:c r="N110" s="13"/>
      <x:c r="O110" s="13" t="n">
        <x:f t="shared" si="9"/>
        <x:v>89.9999856</x:v>
      </x:c>
      <x:c r="P110" s="13" t="n">
        <x:f t="shared" si="10"/>
        <x:v>0</x:v>
      </x:c>
      <x:c r="Q110" t="str">
        <x:f t="shared" si="11"/>
        <x:v>OK</x:v>
      </x:c>
    </x:row>
    <x:row r="111">
      <x:c r="A111" s="12" t="n">
        <x:v>46213</x:v>
      </x:c>
      <x:c r="B111" t="str">
        <x:v>Trapus šakotis</x:v>
      </x:c>
      <x:c r="C111" t="str">
        <x:v>L286</x:v>
      </x:c>
      <x:c r="D111" t="str">
        <x:v>Cukrus</x:v>
      </x:c>
      <x:c r="E111" s="13" t="n">
        <x:v>53.99999136</x:v>
      </x:c>
      <x:c r="F111" t="str">
        <x:v>Cuk0630</x:v>
      </x:c>
      <x:c r="G111" s="12" t="n">
        <x:v>46388</x:v>
      </x:c>
      <x:c r="H111" s="13" t="n">
        <x:v>53.99999136</x:v>
      </x:c>
      <x:c r="I111"/>
      <x:c r="J111" s="12"/>
      <x:c r="K111" s="13"/>
      <x:c r="L111"/>
      <x:c r="M111" s="12"/>
      <x:c r="N111" s="13"/>
      <x:c r="O111" s="13" t="n">
        <x:f t="shared" si="9"/>
        <x:v>53.99999136</x:v>
      </x:c>
      <x:c r="P111" s="13" t="n">
        <x:f t="shared" si="10"/>
        <x:v>0</x:v>
      </x:c>
      <x:c r="Q111" t="str">
        <x:f t="shared" si="11"/>
        <x:v>OK</x:v>
      </x:c>
    </x:row>
    <x:row r="112">
      <x:c r="A112" s="12" t="n">
        <x:v>46213</x:v>
      </x:c>
      <x:c r="B112" t="str">
        <x:v>Trapus šakotis</x:v>
      </x:c>
      <x:c r="C112" t="str">
        <x:v>L286</x:v>
      </x:c>
      <x:c r="D112" t="str">
        <x:v>Margarinas trapiam "IEVA"</x:v>
      </x:c>
      <x:c r="E112" s="13" t="n">
        <x:v>63.7199136</x:v>
      </x:c>
      <x:c r="F112" t="str">
        <x:v>MarI0630</x:v>
      </x:c>
      <x:c r="G112" s="12" t="n">
        <x:v>46336</x:v>
      </x:c>
      <x:c r="H112" s="13" t="n">
        <x:v>63.7199136</x:v>
      </x:c>
      <x:c r="I112"/>
      <x:c r="J112" s="12"/>
      <x:c r="K112" s="13"/>
      <x:c r="L112"/>
      <x:c r="M112" s="12"/>
      <x:c r="N112" s="13"/>
      <x:c r="O112" s="13" t="n">
        <x:f t="shared" si="9"/>
        <x:v>63.7199136</x:v>
      </x:c>
      <x:c r="P112" s="13" t="n">
        <x:f t="shared" si="10"/>
        <x:v>0</x:v>
      </x:c>
      <x:c r="Q112" t="str">
        <x:f t="shared" si="11"/>
        <x:v>OK</x:v>
      </x:c>
    </x:row>
    <x:row r="113">
      <x:c r="A113" s="12" t="n">
        <x:v>46213</x:v>
      </x:c>
      <x:c r="B113" t="str">
        <x:v>Trapus šakotis</x:v>
      </x:c>
      <x:c r="C113" t="str">
        <x:v>L286</x:v>
      </x:c>
      <x:c r="D113"/>
      <x:c r="E113" s="13"/>
      <x:c r="F113"/>
      <x:c r="G113" s="12"/>
      <x:c r="H113" s="13"/>
      <x:c r="I113"/>
      <x:c r="J113" s="12"/>
      <x:c r="K113" s="13"/>
      <x:c r="L113"/>
      <x:c r="M113" s="12"/>
      <x:c r="N113" s="13"/>
      <x:c r="O113" s="13">
        <x:f t="shared" si="9"/>
      </x:c>
      <x:c r="P113" s="13">
        <x:f t="shared" si="10"/>
      </x:c>
      <x:c r="Q113">
        <x:f t="shared" si="11"/>
      </x:c>
    </x:row>
    <x:row r="114">
      <x:c r="A114" s="12" t="n">
        <x:v>46213</x:v>
      </x:c>
      <x:c r="B114" t="str">
        <x:v>Trapus šakotis</x:v>
      </x:c>
      <x:c r="C114" t="str">
        <x:v>L286</x:v>
      </x:c>
      <x:c r="D114"/>
      <x:c r="E114" s="13"/>
      <x:c r="F114"/>
      <x:c r="G114" s="12"/>
      <x:c r="H114" s="13"/>
      <x:c r="I114"/>
      <x:c r="J114" s="12"/>
      <x:c r="K114" s="13"/>
      <x:c r="L114"/>
      <x:c r="M114" s="12"/>
      <x:c r="N114" s="13"/>
      <x:c r="O114" s="13">
        <x:f t="shared" si="9"/>
      </x:c>
      <x:c r="P114" s="13">
        <x:f t="shared" si="10"/>
      </x:c>
      <x:c r="Q114">
        <x:f t="shared" si="11"/>
      </x:c>
    </x:row>
    <x:row r="115">
      <x:c r="A115" s="12" t="n">
        <x:v>46213</x:v>
      </x:c>
      <x:c r="B115" t="str">
        <x:v>Trapus šakotis</x:v>
      </x:c>
      <x:c r="C115" t="str">
        <x:v>L286</x:v>
      </x:c>
      <x:c r="D115"/>
      <x:c r="E115" s="13"/>
      <x:c r="F115"/>
      <x:c r="G115" s="12"/>
      <x:c r="H115" s="13"/>
      <x:c r="I115"/>
      <x:c r="J115" s="12"/>
      <x:c r="K115" s="13"/>
      <x:c r="L115"/>
      <x:c r="M115" s="12"/>
      <x:c r="N115" s="13"/>
      <x:c r="O115" s="13">
        <x:f t="shared" si="9"/>
      </x:c>
      <x:c r="P115" s="13">
        <x:f t="shared" si="10"/>
      </x:c>
      <x:c r="Q115">
        <x:f t="shared" si="11"/>
      </x:c>
    </x:row>
    <x:row r="116">
      <x:c r="A116" s="12" t="n">
        <x:v>46215</x:v>
      </x:c>
      <x:c r="B116" t="str">
        <x:v>Šakotis</x:v>
      </x:c>
      <x:c r="C116" t="str">
        <x:v>L286</x:v>
      </x:c>
      <x:c r="D116" t="str">
        <x:v>Miltai</x:v>
      </x:c>
      <x:c r="E116" s="13" t="n">
        <x:v>29.9999952</x:v>
      </x:c>
      <x:c r="F116" t="str">
        <x:v>Mil0630</x:v>
      </x:c>
      <x:c r="G116" s="12" t="n">
        <x:v>46419</x:v>
      </x:c>
      <x:c r="H116" s="13" t="n">
        <x:v>29.9999952</x:v>
      </x:c>
      <x:c r="I116"/>
      <x:c r="J116" s="12"/>
      <x:c r="K116" s="13"/>
      <x:c r="L116"/>
      <x:c r="M116" s="12"/>
      <x:c r="N116" s="13"/>
      <x:c r="O116" s="13" t="n">
        <x:f t="shared" si="9"/>
        <x:v>29.9999952</x:v>
      </x:c>
      <x:c r="P116" s="13" t="n">
        <x:f t="shared" si="10"/>
        <x:v>0</x:v>
      </x:c>
      <x:c r="Q116" t="str">
        <x:f t="shared" si="11"/>
        <x:v>OK</x:v>
      </x:c>
    </x:row>
    <x:row r="117">
      <x:c r="A117" s="12" t="n">
        <x:v>46215</x:v>
      </x:c>
      <x:c r="B117" t="str">
        <x:v>Šakotis</x:v>
      </x:c>
      <x:c r="C117" t="str">
        <x:v>L286</x:v>
      </x:c>
      <x:c r="D117" t="str">
        <x:v>Pienas</x:v>
      </x:c>
      <x:c r="E117" s="13" t="n">
        <x:v>11.2499982</x:v>
      </x:c>
      <x:c r="F117"/>
      <x:c r="G117" s="12"/>
      <x:c r="H117" s="13"/>
      <x:c r="I117"/>
      <x:c r="J117" s="12"/>
      <x:c r="K117" s="13"/>
      <x:c r="L117"/>
      <x:c r="M117" s="12"/>
      <x:c r="N117" s="13"/>
      <x:c r="O117" s="13" t="n">
        <x:f t="shared" si="9"/>
        <x:v>0</x:v>
      </x:c>
      <x:c r="P117" s="13" t="n">
        <x:f t="shared" si="10"/>
        <x:v>11.2499982</x:v>
      </x:c>
      <x:c r="Q117" t="str">
        <x:f t="shared" si="11"/>
        <x:v>TRŪKSTA / NĖRA GALIOJANČIOS PARTIJOS</x:v>
      </x:c>
    </x:row>
    <x:row r="118">
      <x:c r="A118" s="12" t="n">
        <x:v>46215</x:v>
      </x:c>
      <x:c r="B118" t="str">
        <x:v>Šakotis</x:v>
      </x:c>
      <x:c r="C118" t="str">
        <x:v>L286</x:v>
      </x:c>
      <x:c r="D118" t="str">
        <x:v>Kiaušiniai</x:v>
      </x:c>
      <x:c r="E118" s="13" t="n">
        <x:v>41.249964</x:v>
      </x:c>
      <x:c r="F118" t="str">
        <x:v>K0630</x:v>
      </x:c>
      <x:c r="G118" s="12" t="n">
        <x:v>46218</x:v>
      </x:c>
      <x:c r="H118" s="13" t="n">
        <x:v>41.249964</x:v>
      </x:c>
      <x:c r="I118"/>
      <x:c r="J118" s="12"/>
      <x:c r="K118" s="13"/>
      <x:c r="L118"/>
      <x:c r="M118" s="12"/>
      <x:c r="N118" s="13"/>
      <x:c r="O118" s="13" t="n">
        <x:f t="shared" si="9"/>
        <x:v>41.249964</x:v>
      </x:c>
      <x:c r="P118" s="13" t="n">
        <x:f t="shared" si="10"/>
        <x:v>0</x:v>
      </x:c>
      <x:c r="Q118" t="str">
        <x:f t="shared" si="11"/>
        <x:v>OK</x:v>
      </x:c>
    </x:row>
    <x:row r="119">
      <x:c r="A119" s="12" t="n">
        <x:v>46215</x:v>
      </x:c>
      <x:c r="B119" t="str">
        <x:v>Šakotis</x:v>
      </x:c>
      <x:c r="C119" t="str">
        <x:v>L286</x:v>
      </x:c>
      <x:c r="D119" t="str">
        <x:v>Cukrus</x:v>
      </x:c>
      <x:c r="E119" s="13" t="n">
        <x:v>22.4999964</x:v>
      </x:c>
      <x:c r="F119" t="str">
        <x:v>Cuk0630</x:v>
      </x:c>
      <x:c r="G119" s="12" t="n">
        <x:v>46388</x:v>
      </x:c>
      <x:c r="H119" s="13" t="n">
        <x:v>22.4999964</x:v>
      </x:c>
      <x:c r="I119"/>
      <x:c r="J119" s="12"/>
      <x:c r="K119" s="13"/>
      <x:c r="L119"/>
      <x:c r="M119" s="12"/>
      <x:c r="N119" s="13"/>
      <x:c r="O119" s="13" t="n">
        <x:f t="shared" si="9"/>
        <x:v>22.4999964</x:v>
      </x:c>
      <x:c r="P119" s="13" t="n">
        <x:f t="shared" si="10"/>
        <x:v>0</x:v>
      </x:c>
      <x:c r="Q119" t="str">
        <x:f t="shared" si="11"/>
        <x:v>OK</x:v>
      </x:c>
    </x:row>
    <x:row r="120">
      <x:c r="A120" s="12" t="n">
        <x:v>46215</x:v>
      </x:c>
      <x:c r="B120" t="str">
        <x:v>Šakotis</x:v>
      </x:c>
      <x:c r="C120" t="str">
        <x:v>L286</x:v>
      </x:c>
      <x:c r="D120" t="str">
        <x:v>Margarinas Šakočiui "Alvas"</x:v>
      </x:c>
      <x:c r="E120" s="13" t="n">
        <x:v>22.4999964</x:v>
      </x:c>
      <x:c r="F120" t="str">
        <x:v>MarA0630</x:v>
      </x:c>
      <x:c r="G120" s="12" t="n">
        <x:v>46306</x:v>
      </x:c>
      <x:c r="H120" s="13" t="n">
        <x:v>22.4999964</x:v>
      </x:c>
      <x:c r="I120"/>
      <x:c r="J120" s="12"/>
      <x:c r="K120" s="13"/>
      <x:c r="L120"/>
      <x:c r="M120" s="12"/>
      <x:c r="N120" s="13"/>
      <x:c r="O120" s="13" t="n">
        <x:f t="shared" si="9"/>
        <x:v>22.4999964</x:v>
      </x:c>
      <x:c r="P120" s="13" t="n">
        <x:f t="shared" si="10"/>
        <x:v>0</x:v>
      </x:c>
      <x:c r="Q120" t="str">
        <x:f t="shared" si="11"/>
        <x:v>OK</x:v>
      </x:c>
    </x:row>
    <x:row r="121">
      <x:c r="A121" s="12" t="n">
        <x:v>46215</x:v>
      </x:c>
      <x:c r="B121" t="str">
        <x:v>Šakotis</x:v>
      </x:c>
      <x:c r="C121" t="str">
        <x:v>L286</x:v>
      </x:c>
      <x:c r="D121" t="str">
        <x:v>Kvapnioji medžiaga</x:v>
      </x:c>
      <x:c r="E121" s="13" t="n">
        <x:v>0.07499940000000001</x:v>
      </x:c>
      <x:c r="F121" t="str">
        <x:v>Kvp0630</x:v>
      </x:c>
      <x:c r="G121" s="12" t="n">
        <x:v>46388</x:v>
      </x:c>
      <x:c r="H121" s="13" t="n">
        <x:v>0.07499940000000001</x:v>
      </x:c>
      <x:c r="I121"/>
      <x:c r="J121" s="12"/>
      <x:c r="K121" s="13"/>
      <x:c r="L121"/>
      <x:c r="M121" s="12"/>
      <x:c r="N121" s="13"/>
      <x:c r="O121" s="13" t="n">
        <x:f t="shared" si="9"/>
        <x:v>0.07499940000000001</x:v>
      </x:c>
      <x:c r="P121" s="13" t="n">
        <x:f t="shared" si="10"/>
        <x:v>0</x:v>
      </x:c>
      <x:c r="Q121" t="str">
        <x:f t="shared" si="11"/>
        <x:v>OK</x:v>
      </x:c>
    </x:row>
    <x:row r="122">
      <x:c r="A122" s="12" t="n">
        <x:v>46215</x:v>
      </x:c>
      <x:c r="B122" t="str">
        <x:v>Šakotis</x:v>
      </x:c>
      <x:c r="C122" t="str">
        <x:v>L286</x:v>
      </x:c>
      <x:c r="D122" t="str">
        <x:v>Ciberžolė</x:v>
      </x:c>
      <x:c r="E122" s="13" t="n">
        <x:v>0.2624979</x:v>
      </x:c>
      <x:c r="F122" t="str">
        <x:v>Cib0630</x:v>
      </x:c>
      <x:c r="G122" s="12" t="n">
        <x:v>46573</x:v>
      </x:c>
      <x:c r="H122" s="13" t="n">
        <x:v>0.2624979</x:v>
      </x:c>
      <x:c r="I122"/>
      <x:c r="J122" s="12"/>
      <x:c r="K122" s="13"/>
      <x:c r="L122"/>
      <x:c r="M122" s="12"/>
      <x:c r="N122" s="13"/>
      <x:c r="O122" s="13" t="n">
        <x:f t="shared" si="9"/>
        <x:v>0.2624979</x:v>
      </x:c>
      <x:c r="P122" s="13" t="n">
        <x:f t="shared" si="10"/>
        <x:v>0</x:v>
      </x:c>
      <x:c r="Q122" t="str">
        <x:f t="shared" si="11"/>
        <x:v>OK</x:v>
      </x:c>
    </x:row>
    <x:row r="123">
      <x:c r="A123" s="12" t="n">
        <x:v>46215</x:v>
      </x:c>
      <x:c r="B123" t="str">
        <x:v>Šakotis</x:v>
      </x:c>
      <x:c r="C123" t="str">
        <x:v>L286</x:v>
      </x:c>
      <x:c r="D123" t="str">
        <x:v>Vanduo</x:v>
      </x:c>
      <x:c r="E123" s="13" t="n">
        <x:v>3.7493085</x:v>
      </x:c>
      <x:c r="F123" t="str">
        <x:v>Netaikoma</x:v>
      </x:c>
      <x:c r="G123" s="12"/>
      <x:c r="H123" s="13" t="n">
        <x:v>3.7493085</x:v>
      </x:c>
      <x:c r="I123"/>
      <x:c r="J123" s="12"/>
      <x:c r="K123" s="13"/>
      <x:c r="L123"/>
      <x:c r="M123" s="12"/>
      <x:c r="N123" s="13"/>
      <x:c r="O123" s="13" t="n">
        <x:f t="shared" si="9"/>
        <x:v>3.7493085</x:v>
      </x:c>
      <x:c r="P123" s="13" t="n">
        <x:f t="shared" si="10"/>
        <x:v>0</x:v>
      </x:c>
      <x:c r="Q123" t="str">
        <x:f t="shared" si="11"/>
        <x:v>OK</x:v>
      </x:c>
    </x:row>
    <x:row r="124">
      <x:c r="A124" s="12" t="n">
        <x:v>46215</x:v>
      </x:c>
      <x:c r="B124" t="str">
        <x:v>Trapus šakotis</x:v>
      </x:c>
      <x:c r="C124" t="str">
        <x:v>L286</x:v>
      </x:c>
      <x:c r="D124" t="str">
        <x:v>Miltai</x:v>
      </x:c>
      <x:c r="E124" s="13" t="n">
        <x:v>29.999995199999997</x:v>
      </x:c>
      <x:c r="F124" t="str">
        <x:v>Mil0630</x:v>
      </x:c>
      <x:c r="G124" s="12" t="n">
        <x:v>46419</x:v>
      </x:c>
      <x:c r="H124" s="13" t="n">
        <x:v>29.999995199999997</x:v>
      </x:c>
      <x:c r="I124"/>
      <x:c r="J124" s="12"/>
      <x:c r="K124" s="13"/>
      <x:c r="L124"/>
      <x:c r="M124" s="12"/>
      <x:c r="N124" s="13"/>
      <x:c r="O124" s="13" t="n">
        <x:f t="shared" si="9"/>
        <x:v>29.999995199999997</x:v>
      </x:c>
      <x:c r="P124" s="13" t="n">
        <x:f t="shared" si="10"/>
        <x:v>0</x:v>
      </x:c>
      <x:c r="Q124" t="str">
        <x:f t="shared" si="11"/>
        <x:v>OK</x:v>
      </x:c>
    </x:row>
    <x:row r="125">
      <x:c r="A125" s="12" t="n">
        <x:v>46215</x:v>
      </x:c>
      <x:c r="B125" t="str">
        <x:v>Trapus šakotis</x:v>
      </x:c>
      <x:c r="C125" t="str">
        <x:v>L286</x:v>
      </x:c>
      <x:c r="D125" t="str">
        <x:v>Grietinės mišinys</x:v>
      </x:c>
      <x:c r="E125" s="13" t="n">
        <x:v>21.599997719999998</x:v>
      </x:c>
      <x:c r="F125" t="str">
        <x:v>Gr0710</x:v>
      </x:c>
      <x:c r="G125" s="12" t="n">
        <x:v>46221</x:v>
      </x:c>
      <x:c r="H125" s="13" t="n">
        <x:v>21.599997719999998</x:v>
      </x:c>
      <x:c r="I125"/>
      <x:c r="J125" s="12"/>
      <x:c r="K125" s="13"/>
      <x:c r="L125"/>
      <x:c r="M125" s="12"/>
      <x:c r="N125" s="13"/>
      <x:c r="O125" s="13" t="n">
        <x:f t="shared" si="9"/>
        <x:v>21.599997719999998</x:v>
      </x:c>
      <x:c r="P125" s="13" t="n">
        <x:f t="shared" si="10"/>
        <x:v>0</x:v>
      </x:c>
      <x:c r="Q125" t="str">
        <x:f t="shared" si="11"/>
        <x:v>OK</x:v>
      </x:c>
    </x:row>
    <x:row r="126">
      <x:c r="A126" s="12" t="n">
        <x:v>46215</x:v>
      </x:c>
      <x:c r="B126" t="str">
        <x:v>Trapus šakotis</x:v>
      </x:c>
      <x:c r="C126" t="str">
        <x:v>L286</x:v>
      </x:c>
      <x:c r="D126" t="str">
        <x:v>Kiaušiniai</x:v>
      </x:c>
      <x:c r="E126" s="13" t="n">
        <x:v>29.999995199999997</x:v>
      </x:c>
      <x:c r="F126" t="str">
        <x:v>K0630</x:v>
      </x:c>
      <x:c r="G126" s="12" t="n">
        <x:v>46218</x:v>
      </x:c>
      <x:c r="H126" s="13" t="n">
        <x:v>29.999995199999997</x:v>
      </x:c>
      <x:c r="I126"/>
      <x:c r="J126" s="12"/>
      <x:c r="K126" s="13"/>
      <x:c r="L126"/>
      <x:c r="M126" s="12"/>
      <x:c r="N126" s="13"/>
      <x:c r="O126" s="13" t="n">
        <x:f t="shared" si="9"/>
        <x:v>29.999995199999997</x:v>
      </x:c>
      <x:c r="P126" s="13" t="n">
        <x:f t="shared" si="10"/>
        <x:v>0</x:v>
      </x:c>
      <x:c r="Q126" t="str">
        <x:f t="shared" si="11"/>
        <x:v>OK</x:v>
      </x:c>
    </x:row>
    <x:row r="127">
      <x:c r="A127" s="12" t="n">
        <x:v>46215</x:v>
      </x:c>
      <x:c r="B127" t="str">
        <x:v>Trapus šakotis</x:v>
      </x:c>
      <x:c r="C127" t="str">
        <x:v>L286</x:v>
      </x:c>
      <x:c r="D127" t="str">
        <x:v>Cukrus</x:v>
      </x:c>
      <x:c r="E127" s="13" t="n">
        <x:v>17.99999712</x:v>
      </x:c>
      <x:c r="F127" t="str">
        <x:v>Cuk0630</x:v>
      </x:c>
      <x:c r="G127" s="12" t="n">
        <x:v>46388</x:v>
      </x:c>
      <x:c r="H127" s="13" t="n">
        <x:v>17.99999712</x:v>
      </x:c>
      <x:c r="I127"/>
      <x:c r="J127" s="12"/>
      <x:c r="K127" s="13"/>
      <x:c r="L127"/>
      <x:c r="M127" s="12"/>
      <x:c r="N127" s="13"/>
      <x:c r="O127" s="13" t="n">
        <x:f t="shared" si="9"/>
        <x:v>17.99999712</x:v>
      </x:c>
      <x:c r="P127" s="13" t="n">
        <x:f t="shared" si="10"/>
        <x:v>0</x:v>
      </x:c>
      <x:c r="Q127" t="str">
        <x:f t="shared" si="11"/>
        <x:v>OK</x:v>
      </x:c>
    </x:row>
    <x:row r="128">
      <x:c r="A128" s="12" t="n">
        <x:v>46215</x:v>
      </x:c>
      <x:c r="B128" t="str">
        <x:v>Trapus šakotis</x:v>
      </x:c>
      <x:c r="C128" t="str">
        <x:v>L286</x:v>
      </x:c>
      <x:c r="D128" t="str">
        <x:v>Margarinas trapiam "IEVA"</x:v>
      </x:c>
      <x:c r="E128" s="13" t="n">
        <x:v>21.2399712</x:v>
      </x:c>
      <x:c r="F128" t="str">
        <x:v>MarI0630</x:v>
      </x:c>
      <x:c r="G128" s="12" t="n">
        <x:v>46336</x:v>
      </x:c>
      <x:c r="H128" s="13" t="n">
        <x:v>21.2399712</x:v>
      </x:c>
      <x:c r="I128"/>
      <x:c r="J128" s="12"/>
      <x:c r="K128" s="13"/>
      <x:c r="L128"/>
      <x:c r="M128" s="12"/>
      <x:c r="N128" s="13"/>
      <x:c r="O128" s="13" t="n">
        <x:f t="shared" si="9"/>
        <x:v>21.2399712</x:v>
      </x:c>
      <x:c r="P128" s="13" t="n">
        <x:f t="shared" si="10"/>
        <x:v>0</x:v>
      </x:c>
      <x:c r="Q128" t="str">
        <x:f t="shared" si="11"/>
        <x:v>OK</x:v>
      </x:c>
    </x:row>
    <x:row r="129">
      <x:c r="A129" s="12" t="n">
        <x:v>46215</x:v>
      </x:c>
      <x:c r="B129" t="str">
        <x:v>Trapus šakotis</x:v>
      </x:c>
      <x:c r="C129" t="str">
        <x:v>L286</x:v>
      </x:c>
      <x:c r="D129"/>
      <x:c r="E129" s="13"/>
      <x:c r="F129"/>
      <x:c r="G129" s="12"/>
      <x:c r="H129" s="13"/>
      <x:c r="I129"/>
      <x:c r="J129" s="12"/>
      <x:c r="K129" s="13"/>
      <x:c r="L129"/>
      <x:c r="M129" s="12"/>
      <x:c r="N129" s="13"/>
      <x:c r="O129" s="13">
        <x:f t="shared" si="9"/>
      </x:c>
      <x:c r="P129" s="13">
        <x:f t="shared" si="10"/>
      </x:c>
      <x:c r="Q129">
        <x:f t="shared" si="11"/>
      </x:c>
    </x:row>
    <x:row r="130">
      <x:c r="A130" s="12" t="n">
        <x:v>46215</x:v>
      </x:c>
      <x:c r="B130" t="str">
        <x:v>Trapus šakotis</x:v>
      </x:c>
      <x:c r="C130" t="str">
        <x:v>L286</x:v>
      </x:c>
      <x:c r="D130"/>
      <x:c r="E130" s="13"/>
      <x:c r="F130"/>
      <x:c r="G130" s="12"/>
      <x:c r="H130" s="13"/>
      <x:c r="I130"/>
      <x:c r="J130" s="12"/>
      <x:c r="K130" s="13"/>
      <x:c r="L130"/>
      <x:c r="M130" s="12"/>
      <x:c r="N130" s="13"/>
      <x:c r="O130" s="13">
        <x:f t="shared" si="9"/>
      </x:c>
      <x:c r="P130" s="13">
        <x:f t="shared" si="10"/>
      </x:c>
      <x:c r="Q130">
        <x:f t="shared" si="11"/>
      </x:c>
    </x:row>
    <x:row r="131">
      <x:c r="A131" s="12" t="n">
        <x:v>46215</x:v>
      </x:c>
      <x:c r="B131" t="str">
        <x:v>Trapus šakotis</x:v>
      </x:c>
      <x:c r="C131" t="str">
        <x:v>L286</x:v>
      </x:c>
      <x:c r="D131"/>
      <x:c r="E131" s="13"/>
      <x:c r="F131"/>
      <x:c r="G131" s="12"/>
      <x:c r="H131" s="13"/>
      <x:c r="I131"/>
      <x:c r="J131" s="12"/>
      <x:c r="K131" s="13"/>
      <x:c r="L131"/>
      <x:c r="M131" s="12"/>
      <x:c r="N131" s="13"/>
      <x:c r="O131" s="13">
        <x:f t="shared" si="9"/>
      </x:c>
      <x:c r="P131" s="13">
        <x:f t="shared" si="10"/>
      </x:c>
      <x:c r="Q131">
        <x:f t="shared" si="11"/>
      </x:c>
    </x:row>
    <x:row r="132">
      <x:c r="A132" s="12" t="n">
        <x:v>46216</x:v>
      </x:c>
      <x:c r="B132" t="str">
        <x:v>Šakotis</x:v>
      </x:c>
      <x:c r="C132" t="str">
        <x:v>L296</x:v>
      </x:c>
      <x:c r="D132" t="str">
        <x:v>Miltai</x:v>
      </x:c>
      <x:c r="E132" s="13" t="n">
        <x:v>47.99999232</x:v>
      </x:c>
      <x:c r="F132" t="str">
        <x:v>Mil0630</x:v>
      </x:c>
      <x:c r="G132" s="12" t="n">
        <x:v>46419</x:v>
      </x:c>
      <x:c r="H132" s="13" t="n">
        <x:v>47.99999232</x:v>
      </x:c>
      <x:c r="I132"/>
      <x:c r="J132" s="12"/>
      <x:c r="K132" s="13"/>
      <x:c r="L132"/>
      <x:c r="M132" s="12"/>
      <x:c r="N132" s="13"/>
      <x:c r="O132" s="13" t="n">
        <x:f t="shared" ref="O132:O195" si="12">IF($D132="","",SUM($H132,$K132,$N132))</x:f>
        <x:v>47.99999232</x:v>
      </x:c>
      <x:c r="P132" s="13" t="n">
        <x:f t="shared" ref="P132:P195" si="13">IF($D132="","",MAX(0,$E132-$O132))</x:f>
        <x:v>0</x:v>
      </x:c>
      <x:c r="Q132" t="str">
        <x:f t="shared" ref="Q132:Q195" si="14">IF($D132="","",IF($E132=0,"TRŪKSTA RECEPTŪROS NORMOS",IF($P132&lt;0.001,"OK","TRŪKSTA / NĖRA GALIOJANČIOS PARTIJOS")))</x:f>
        <x:v>OK</x:v>
      </x:c>
    </x:row>
    <x:row r="133">
      <x:c r="A133" s="12" t="n">
        <x:v>46216</x:v>
      </x:c>
      <x:c r="B133" t="str">
        <x:v>Šakotis</x:v>
      </x:c>
      <x:c r="C133" t="str">
        <x:v>L296</x:v>
      </x:c>
      <x:c r="D133" t="str">
        <x:v>Pienas</x:v>
      </x:c>
      <x:c r="E133" s="13" t="n">
        <x:v>17.99999712</x:v>
      </x:c>
      <x:c r="F133" t="str">
        <x:v>P0710</x:v>
      </x:c>
      <x:c r="G133" s="12" t="n">
        <x:v>46220</x:v>
      </x:c>
      <x:c r="H133" s="13" t="n">
        <x:v>17.99999712</x:v>
      </x:c>
      <x:c r="I133"/>
      <x:c r="J133" s="12"/>
      <x:c r="K133" s="13"/>
      <x:c r="L133"/>
      <x:c r="M133" s="12"/>
      <x:c r="N133" s="13"/>
      <x:c r="O133" s="13" t="n">
        <x:f t="shared" si="12"/>
        <x:v>17.99999712</x:v>
      </x:c>
      <x:c r="P133" s="13" t="n">
        <x:f t="shared" si="13"/>
        <x:v>0</x:v>
      </x:c>
      <x:c r="Q133" t="str">
        <x:f t="shared" si="14"/>
        <x:v>OK</x:v>
      </x:c>
    </x:row>
    <x:row r="134">
      <x:c r="A134" s="12" t="n">
        <x:v>46216</x:v>
      </x:c>
      <x:c r="B134" t="str">
        <x:v>Šakotis</x:v>
      </x:c>
      <x:c r="C134" t="str">
        <x:v>L296</x:v>
      </x:c>
      <x:c r="D134" t="str">
        <x:v>Kiaušiniai</x:v>
      </x:c>
      <x:c r="E134" s="13" t="n">
        <x:v>65.9999424</x:v>
      </x:c>
      <x:c r="F134" t="str">
        <x:v>K0630</x:v>
      </x:c>
      <x:c r="G134" s="12" t="n">
        <x:v>46218</x:v>
      </x:c>
      <x:c r="H134" s="13" t="n">
        <x:v>65.9999424</x:v>
      </x:c>
      <x:c r="I134"/>
      <x:c r="J134" s="12"/>
      <x:c r="K134" s="13"/>
      <x:c r="L134"/>
      <x:c r="M134" s="12"/>
      <x:c r="N134" s="13"/>
      <x:c r="O134" s="13" t="n">
        <x:f t="shared" si="12"/>
        <x:v>65.9999424</x:v>
      </x:c>
      <x:c r="P134" s="13" t="n">
        <x:f t="shared" si="13"/>
        <x:v>0</x:v>
      </x:c>
      <x:c r="Q134" t="str">
        <x:f t="shared" si="14"/>
        <x:v>OK</x:v>
      </x:c>
    </x:row>
    <x:row r="135">
      <x:c r="A135" s="12" t="n">
        <x:v>46216</x:v>
      </x:c>
      <x:c r="B135" t="str">
        <x:v>Šakotis</x:v>
      </x:c>
      <x:c r="C135" t="str">
        <x:v>L296</x:v>
      </x:c>
      <x:c r="D135" t="str">
        <x:v>Cukrus</x:v>
      </x:c>
      <x:c r="E135" s="13" t="n">
        <x:v>35.99999424</x:v>
      </x:c>
      <x:c r="F135" t="str">
        <x:v>Cuk0630</x:v>
      </x:c>
      <x:c r="G135" s="12" t="n">
        <x:v>46388</x:v>
      </x:c>
      <x:c r="H135" s="13" t="n">
        <x:v>35.99999424</x:v>
      </x:c>
      <x:c r="I135"/>
      <x:c r="J135" s="12"/>
      <x:c r="K135" s="13"/>
      <x:c r="L135"/>
      <x:c r="M135" s="12"/>
      <x:c r="N135" s="13"/>
      <x:c r="O135" s="13" t="n">
        <x:f t="shared" si="12"/>
        <x:v>35.99999424</x:v>
      </x:c>
      <x:c r="P135" s="13" t="n">
        <x:f t="shared" si="13"/>
        <x:v>0</x:v>
      </x:c>
      <x:c r="Q135" t="str">
        <x:f t="shared" si="14"/>
        <x:v>OK</x:v>
      </x:c>
    </x:row>
    <x:row r="136">
      <x:c r="A136" s="12" t="n">
        <x:v>46216</x:v>
      </x:c>
      <x:c r="B136" t="str">
        <x:v>Šakotis</x:v>
      </x:c>
      <x:c r="C136" t="str">
        <x:v>L296</x:v>
      </x:c>
      <x:c r="D136" t="str">
        <x:v>Margarinas Šakočiui "Alvas"</x:v>
      </x:c>
      <x:c r="E136" s="13" t="n">
        <x:v>35.99999424</x:v>
      </x:c>
      <x:c r="F136" t="str">
        <x:v>MarA0630</x:v>
      </x:c>
      <x:c r="G136" s="12" t="n">
        <x:v>46306</x:v>
      </x:c>
      <x:c r="H136" s="13" t="n">
        <x:v>35.99999424</x:v>
      </x:c>
      <x:c r="I136"/>
      <x:c r="J136" s="12"/>
      <x:c r="K136" s="13"/>
      <x:c r="L136"/>
      <x:c r="M136" s="12"/>
      <x:c r="N136" s="13"/>
      <x:c r="O136" s="13" t="n">
        <x:f t="shared" si="12"/>
        <x:v>35.99999424</x:v>
      </x:c>
      <x:c r="P136" s="13" t="n">
        <x:f t="shared" si="13"/>
        <x:v>0</x:v>
      </x:c>
      <x:c r="Q136" t="str">
        <x:f t="shared" si="14"/>
        <x:v>OK</x:v>
      </x:c>
    </x:row>
    <x:row r="137">
      <x:c r="A137" s="12" t="n">
        <x:v>46216</x:v>
      </x:c>
      <x:c r="B137" t="str">
        <x:v>Šakotis</x:v>
      </x:c>
      <x:c r="C137" t="str">
        <x:v>L296</x:v>
      </x:c>
      <x:c r="D137" t="str">
        <x:v>Kvapnioji medžiaga</x:v>
      </x:c>
      <x:c r="E137" s="13" t="n">
        <x:v>0.11999904</x:v>
      </x:c>
      <x:c r="F137" t="str">
        <x:v>Kvp0630</x:v>
      </x:c>
      <x:c r="G137" s="12" t="n">
        <x:v>46388</x:v>
      </x:c>
      <x:c r="H137" s="13" t="n">
        <x:v>0.11999904</x:v>
      </x:c>
      <x:c r="I137"/>
      <x:c r="J137" s="12"/>
      <x:c r="K137" s="13"/>
      <x:c r="L137"/>
      <x:c r="M137" s="12"/>
      <x:c r="N137" s="13"/>
      <x:c r="O137" s="13" t="n">
        <x:f t="shared" si="12"/>
        <x:v>0.11999904</x:v>
      </x:c>
      <x:c r="P137" s="13" t="n">
        <x:f t="shared" si="13"/>
        <x:v>0</x:v>
      </x:c>
      <x:c r="Q137" t="str">
        <x:f t="shared" si="14"/>
        <x:v>OK</x:v>
      </x:c>
    </x:row>
    <x:row r="138">
      <x:c r="A138" s="12" t="n">
        <x:v>46216</x:v>
      </x:c>
      <x:c r="B138" t="str">
        <x:v>Šakotis</x:v>
      </x:c>
      <x:c r="C138" t="str">
        <x:v>L296</x:v>
      </x:c>
      <x:c r="D138" t="str">
        <x:v>Ciberžolė</x:v>
      </x:c>
      <x:c r="E138" s="13" t="n">
        <x:v>0.41999664</x:v>
      </x:c>
      <x:c r="F138" t="str">
        <x:v>Cib0630</x:v>
      </x:c>
      <x:c r="G138" s="12" t="n">
        <x:v>46573</x:v>
      </x:c>
      <x:c r="H138" s="13" t="n">
        <x:v>0.41999664</x:v>
      </x:c>
      <x:c r="I138"/>
      <x:c r="J138" s="12"/>
      <x:c r="K138" s="13"/>
      <x:c r="L138"/>
      <x:c r="M138" s="12"/>
      <x:c r="N138" s="13"/>
      <x:c r="O138" s="13" t="n">
        <x:f t="shared" si="12"/>
        <x:v>0.41999664</x:v>
      </x:c>
      <x:c r="P138" s="13" t="n">
        <x:f t="shared" si="13"/>
        <x:v>0</x:v>
      </x:c>
      <x:c r="Q138" t="str">
        <x:f t="shared" si="14"/>
        <x:v>OK</x:v>
      </x:c>
    </x:row>
    <x:row r="139">
      <x:c r="A139" s="12" t="n">
        <x:v>46216</x:v>
      </x:c>
      <x:c r="B139" t="str">
        <x:v>Šakotis</x:v>
      </x:c>
      <x:c r="C139" t="str">
        <x:v>L296</x:v>
      </x:c>
      <x:c r="D139" t="str">
        <x:v>Vanduo</x:v>
      </x:c>
      <x:c r="E139" s="13" t="n">
        <x:v>5.9988936</x:v>
      </x:c>
      <x:c r="F139" t="str">
        <x:v>Netaikoma</x:v>
      </x:c>
      <x:c r="G139" s="12"/>
      <x:c r="H139" s="13" t="n">
        <x:v>5.9988936</x:v>
      </x:c>
      <x:c r="I139"/>
      <x:c r="J139" s="12"/>
      <x:c r="K139" s="13"/>
      <x:c r="L139"/>
      <x:c r="M139" s="12"/>
      <x:c r="N139" s="13"/>
      <x:c r="O139" s="13" t="n">
        <x:f t="shared" si="12"/>
        <x:v>5.9988936</x:v>
      </x:c>
      <x:c r="P139" s="13" t="n">
        <x:f t="shared" si="13"/>
        <x:v>0</x:v>
      </x:c>
      <x:c r="Q139" t="str">
        <x:f t="shared" si="14"/>
        <x:v>OK</x:v>
      </x:c>
    </x:row>
    <x:row r="140">
      <x:c r="A140" s="12" t="n">
        <x:v>46216</x:v>
      </x:c>
      <x:c r="B140" t="str">
        <x:v>Trapus šakotis</x:v>
      </x:c>
      <x:c r="C140" t="str">
        <x:v>L296</x:v>
      </x:c>
      <x:c r="D140" t="str">
        <x:v>Miltai</x:v>
      </x:c>
      <x:c r="E140" s="13" t="n">
        <x:v>79.9999872</x:v>
      </x:c>
      <x:c r="F140" t="str">
        <x:v>Mil0630</x:v>
      </x:c>
      <x:c r="G140" s="12" t="n">
        <x:v>46419</x:v>
      </x:c>
      <x:c r="H140" s="13" t="n">
        <x:v>79.9999872</x:v>
      </x:c>
      <x:c r="I140"/>
      <x:c r="J140" s="12"/>
      <x:c r="K140" s="13"/>
      <x:c r="L140"/>
      <x:c r="M140" s="12"/>
      <x:c r="N140" s="13"/>
      <x:c r="O140" s="13" t="n">
        <x:f t="shared" si="12"/>
        <x:v>79.9999872</x:v>
      </x:c>
      <x:c r="P140" s="13" t="n">
        <x:f t="shared" si="13"/>
        <x:v>0</x:v>
      </x:c>
      <x:c r="Q140" t="str">
        <x:f t="shared" si="14"/>
        <x:v>OK</x:v>
      </x:c>
    </x:row>
    <x:row r="141">
      <x:c r="A141" s="12" t="n">
        <x:v>46216</x:v>
      </x:c>
      <x:c r="B141" t="str">
        <x:v>Trapus šakotis</x:v>
      </x:c>
      <x:c r="C141" t="str">
        <x:v>L296</x:v>
      </x:c>
      <x:c r="D141" t="str">
        <x:v>Grietinės mišinys</x:v>
      </x:c>
      <x:c r="E141" s="13" t="n">
        <x:v>57.59999392</x:v>
      </x:c>
      <x:c r="F141" t="str">
        <x:v>Gr0710</x:v>
      </x:c>
      <x:c r="G141" s="12" t="n">
        <x:v>46221</x:v>
      </x:c>
      <x:c r="H141" s="13" t="n">
        <x:v>57.59999392</x:v>
      </x:c>
      <x:c r="I141"/>
      <x:c r="J141" s="12"/>
      <x:c r="K141" s="13"/>
      <x:c r="L141"/>
      <x:c r="M141" s="12"/>
      <x:c r="N141" s="13"/>
      <x:c r="O141" s="13" t="n">
        <x:f t="shared" si="12"/>
        <x:v>57.59999392</x:v>
      </x:c>
      <x:c r="P141" s="13" t="n">
        <x:f t="shared" si="13"/>
        <x:v>0</x:v>
      </x:c>
      <x:c r="Q141" t="str">
        <x:f t="shared" si="14"/>
        <x:v>OK</x:v>
      </x:c>
    </x:row>
    <x:row r="142">
      <x:c r="A142" s="12" t="n">
        <x:v>46216</x:v>
      </x:c>
      <x:c r="B142" t="str">
        <x:v>Trapus šakotis</x:v>
      </x:c>
      <x:c r="C142" t="str">
        <x:v>L296</x:v>
      </x:c>
      <x:c r="D142" t="str">
        <x:v>Kiaušiniai</x:v>
      </x:c>
      <x:c r="E142" s="13" t="n">
        <x:v>79.9999872</x:v>
      </x:c>
      <x:c r="F142" t="str">
        <x:v>K0630</x:v>
      </x:c>
      <x:c r="G142" s="12" t="n">
        <x:v>46218</x:v>
      </x:c>
      <x:c r="H142" s="13" t="n">
        <x:v>79.9999872</x:v>
      </x:c>
      <x:c r="I142"/>
      <x:c r="J142" s="12"/>
      <x:c r="K142" s="13"/>
      <x:c r="L142"/>
      <x:c r="M142" s="12"/>
      <x:c r="N142" s="13"/>
      <x:c r="O142" s="13" t="n">
        <x:f t="shared" si="12"/>
        <x:v>79.9999872</x:v>
      </x:c>
      <x:c r="P142" s="13" t="n">
        <x:f t="shared" si="13"/>
        <x:v>0</x:v>
      </x:c>
      <x:c r="Q142" t="str">
        <x:f t="shared" si="14"/>
        <x:v>OK</x:v>
      </x:c>
    </x:row>
    <x:row r="143">
      <x:c r="A143" s="12" t="n">
        <x:v>46216</x:v>
      </x:c>
      <x:c r="B143" t="str">
        <x:v>Trapus šakotis</x:v>
      </x:c>
      <x:c r="C143" t="str">
        <x:v>L296</x:v>
      </x:c>
      <x:c r="D143" t="str">
        <x:v>Cukrus</x:v>
      </x:c>
      <x:c r="E143" s="13" t="n">
        <x:v>47.999992320000004</x:v>
      </x:c>
      <x:c r="F143" t="str">
        <x:v>Cuk0630</x:v>
      </x:c>
      <x:c r="G143" s="12" t="n">
        <x:v>46388</x:v>
      </x:c>
      <x:c r="H143" s="13" t="n">
        <x:v>47.999992320000004</x:v>
      </x:c>
      <x:c r="I143"/>
      <x:c r="J143" s="12"/>
      <x:c r="K143" s="13"/>
      <x:c r="L143"/>
      <x:c r="M143" s="12"/>
      <x:c r="N143" s="13"/>
      <x:c r="O143" s="13" t="n">
        <x:f t="shared" si="12"/>
        <x:v>47.999992320000004</x:v>
      </x:c>
      <x:c r="P143" s="13" t="n">
        <x:f t="shared" si="13"/>
        <x:v>0</x:v>
      </x:c>
      <x:c r="Q143" t="str">
        <x:f t="shared" si="14"/>
        <x:v>OK</x:v>
      </x:c>
    </x:row>
    <x:row r="144">
      <x:c r="A144" s="12" t="n">
        <x:v>46216</x:v>
      </x:c>
      <x:c r="B144" t="str">
        <x:v>Trapus šakotis</x:v>
      </x:c>
      <x:c r="C144" t="str">
        <x:v>L296</x:v>
      </x:c>
      <x:c r="D144" t="str">
        <x:v>Margarinas trapiam "IEVA"</x:v>
      </x:c>
      <x:c r="E144" s="13" t="n">
        <x:v>56.639923200000005</x:v>
      </x:c>
      <x:c r="F144" t="str">
        <x:v>MarI0630</x:v>
      </x:c>
      <x:c r="G144" s="12" t="n">
        <x:v>46336</x:v>
      </x:c>
      <x:c r="H144" s="13" t="n">
        <x:v>56.639923200000005</x:v>
      </x:c>
      <x:c r="I144"/>
      <x:c r="J144" s="12"/>
      <x:c r="K144" s="13"/>
      <x:c r="L144"/>
      <x:c r="M144" s="12"/>
      <x:c r="N144" s="13"/>
      <x:c r="O144" s="13" t="n">
        <x:f t="shared" si="12"/>
        <x:v>56.639923200000005</x:v>
      </x:c>
      <x:c r="P144" s="13" t="n">
        <x:f t="shared" si="13"/>
        <x:v>0</x:v>
      </x:c>
      <x:c r="Q144" t="str">
        <x:f t="shared" si="14"/>
        <x:v>OK</x:v>
      </x:c>
    </x:row>
    <x:row r="145">
      <x:c r="A145" s="12" t="n">
        <x:v>46216</x:v>
      </x:c>
      <x:c r="B145" t="str">
        <x:v>Trapus šakotis</x:v>
      </x:c>
      <x:c r="C145" t="str">
        <x:v>L296</x:v>
      </x:c>
      <x:c r="D145"/>
      <x:c r="E145" s="13"/>
      <x:c r="F145"/>
      <x:c r="G145" s="12"/>
      <x:c r="H145" s="13"/>
      <x:c r="I145"/>
      <x:c r="J145" s="12"/>
      <x:c r="K145" s="13"/>
      <x:c r="L145"/>
      <x:c r="M145" s="12"/>
      <x:c r="N145" s="13"/>
      <x:c r="O145" s="13">
        <x:f t="shared" si="12"/>
      </x:c>
      <x:c r="P145" s="13">
        <x:f t="shared" si="13"/>
      </x:c>
      <x:c r="Q145">
        <x:f t="shared" si="14"/>
      </x:c>
    </x:row>
    <x:row r="146">
      <x:c r="A146" s="12" t="n">
        <x:v>46216</x:v>
      </x:c>
      <x:c r="B146" t="str">
        <x:v>Trapus šakotis</x:v>
      </x:c>
      <x:c r="C146" t="str">
        <x:v>L296</x:v>
      </x:c>
      <x:c r="D146"/>
      <x:c r="E146" s="13"/>
      <x:c r="F146"/>
      <x:c r="G146" s="12"/>
      <x:c r="H146" s="13"/>
      <x:c r="I146"/>
      <x:c r="J146" s="12"/>
      <x:c r="K146" s="13"/>
      <x:c r="L146"/>
      <x:c r="M146" s="12"/>
      <x:c r="N146" s="13"/>
      <x:c r="O146" s="13">
        <x:f t="shared" si="12"/>
      </x:c>
      <x:c r="P146" s="13">
        <x:f t="shared" si="13"/>
      </x:c>
      <x:c r="Q146">
        <x:f t="shared" si="14"/>
      </x:c>
    </x:row>
    <x:row r="147">
      <x:c r="A147" s="12" t="n">
        <x:v>46216</x:v>
      </x:c>
      <x:c r="B147" t="str">
        <x:v>Trapus šakotis</x:v>
      </x:c>
      <x:c r="C147" t="str">
        <x:v>L296</x:v>
      </x:c>
      <x:c r="D147"/>
      <x:c r="E147" s="13"/>
      <x:c r="F147"/>
      <x:c r="G147" s="12"/>
      <x:c r="H147" s="13"/>
      <x:c r="I147"/>
      <x:c r="J147" s="12"/>
      <x:c r="K147" s="13"/>
      <x:c r="L147"/>
      <x:c r="M147" s="12"/>
      <x:c r="N147" s="13"/>
      <x:c r="O147" s="13">
        <x:f t="shared" si="12"/>
      </x:c>
      <x:c r="P147" s="13">
        <x:f t="shared" si="13"/>
      </x:c>
      <x:c r="Q147">
        <x:f t="shared" si="14"/>
      </x:c>
    </x:row>
    <x:row r="148">
      <x:c r="A148" s="12" t="n">
        <x:v>46217</x:v>
      </x:c>
      <x:c r="B148" t="str">
        <x:v>Šakotis</x:v>
      </x:c>
      <x:c r="C148" t="str">
        <x:v>L296</x:v>
      </x:c>
      <x:c r="D148" t="str">
        <x:v>Miltai</x:v>
      </x:c>
      <x:c r="E148" s="13" t="n">
        <x:v>47.99999232</x:v>
      </x:c>
      <x:c r="F148" t="str">
        <x:v>Mil0630</x:v>
      </x:c>
      <x:c r="G148" s="12" t="n">
        <x:v>46419</x:v>
      </x:c>
      <x:c r="H148" s="13" t="n">
        <x:v>47.99999232</x:v>
      </x:c>
      <x:c r="I148"/>
      <x:c r="J148" s="12"/>
      <x:c r="K148" s="13"/>
      <x:c r="L148"/>
      <x:c r="M148" s="12"/>
      <x:c r="N148" s="13"/>
      <x:c r="O148" s="13" t="n">
        <x:f t="shared" si="12"/>
        <x:v>47.99999232</x:v>
      </x:c>
      <x:c r="P148" s="13" t="n">
        <x:f t="shared" si="13"/>
        <x:v>0</x:v>
      </x:c>
      <x:c r="Q148" t="str">
        <x:f t="shared" si="14"/>
        <x:v>OK</x:v>
      </x:c>
    </x:row>
    <x:row r="149">
      <x:c r="A149" s="12" t="n">
        <x:v>46217</x:v>
      </x:c>
      <x:c r="B149" t="str">
        <x:v>Šakotis</x:v>
      </x:c>
      <x:c r="C149" t="str">
        <x:v>L296</x:v>
      </x:c>
      <x:c r="D149" t="str">
        <x:v>Pienas</x:v>
      </x:c>
      <x:c r="E149" s="13" t="n">
        <x:v>17.99999712</x:v>
      </x:c>
      <x:c r="F149" t="str">
        <x:v>P0710</x:v>
      </x:c>
      <x:c r="G149" s="12" t="n">
        <x:v>46220</x:v>
      </x:c>
      <x:c r="H149" s="13" t="n">
        <x:v>17.99999712</x:v>
      </x:c>
      <x:c r="I149"/>
      <x:c r="J149" s="12"/>
      <x:c r="K149" s="13"/>
      <x:c r="L149"/>
      <x:c r="M149" s="12"/>
      <x:c r="N149" s="13"/>
      <x:c r="O149" s="13" t="n">
        <x:f t="shared" si="12"/>
        <x:v>17.99999712</x:v>
      </x:c>
      <x:c r="P149" s="13" t="n">
        <x:f t="shared" si="13"/>
        <x:v>0</x:v>
      </x:c>
      <x:c r="Q149" t="str">
        <x:f t="shared" si="14"/>
        <x:v>OK</x:v>
      </x:c>
    </x:row>
    <x:row r="150">
      <x:c r="A150" s="12" t="n">
        <x:v>46217</x:v>
      </x:c>
      <x:c r="B150" t="str">
        <x:v>Šakotis</x:v>
      </x:c>
      <x:c r="C150" t="str">
        <x:v>L296</x:v>
      </x:c>
      <x:c r="D150" t="str">
        <x:v>Kiaušiniai</x:v>
      </x:c>
      <x:c r="E150" s="13" t="n">
        <x:v>65.9999424</x:v>
      </x:c>
      <x:c r="F150" t="str">
        <x:v>K0630</x:v>
      </x:c>
      <x:c r="G150" s="12" t="n">
        <x:v>46218</x:v>
      </x:c>
      <x:c r="H150" s="13" t="n">
        <x:v>65.9999424</x:v>
      </x:c>
      <x:c r="I150"/>
      <x:c r="J150" s="12"/>
      <x:c r="K150" s="13"/>
      <x:c r="L150"/>
      <x:c r="M150" s="12"/>
      <x:c r="N150" s="13"/>
      <x:c r="O150" s="13" t="n">
        <x:f t="shared" si="12"/>
        <x:v>65.9999424</x:v>
      </x:c>
      <x:c r="P150" s="13" t="n">
        <x:f t="shared" si="13"/>
        <x:v>0</x:v>
      </x:c>
      <x:c r="Q150" t="str">
        <x:f t="shared" si="14"/>
        <x:v>OK</x:v>
      </x:c>
    </x:row>
    <x:row r="151">
      <x:c r="A151" s="12" t="n">
        <x:v>46217</x:v>
      </x:c>
      <x:c r="B151" t="str">
        <x:v>Šakotis</x:v>
      </x:c>
      <x:c r="C151" t="str">
        <x:v>L296</x:v>
      </x:c>
      <x:c r="D151" t="str">
        <x:v>Cukrus</x:v>
      </x:c>
      <x:c r="E151" s="13" t="n">
        <x:v>35.99999424</x:v>
      </x:c>
      <x:c r="F151" t="str">
        <x:v>Cuk0630</x:v>
      </x:c>
      <x:c r="G151" s="12" t="n">
        <x:v>46388</x:v>
      </x:c>
      <x:c r="H151" s="13" t="n">
        <x:v>35.99999424</x:v>
      </x:c>
      <x:c r="I151"/>
      <x:c r="J151" s="12"/>
      <x:c r="K151" s="13"/>
      <x:c r="L151"/>
      <x:c r="M151" s="12"/>
      <x:c r="N151" s="13"/>
      <x:c r="O151" s="13" t="n">
        <x:f t="shared" si="12"/>
        <x:v>35.99999424</x:v>
      </x:c>
      <x:c r="P151" s="13" t="n">
        <x:f t="shared" si="13"/>
        <x:v>0</x:v>
      </x:c>
      <x:c r="Q151" t="str">
        <x:f t="shared" si="14"/>
        <x:v>OK</x:v>
      </x:c>
    </x:row>
    <x:row r="152">
      <x:c r="A152" s="12" t="n">
        <x:v>46217</x:v>
      </x:c>
      <x:c r="B152" t="str">
        <x:v>Šakotis</x:v>
      </x:c>
      <x:c r="C152" t="str">
        <x:v>L296</x:v>
      </x:c>
      <x:c r="D152" t="str">
        <x:v>Margarinas Šakočiui "Alvas"</x:v>
      </x:c>
      <x:c r="E152" s="13" t="n">
        <x:v>35.99999424</x:v>
      </x:c>
      <x:c r="F152" t="str">
        <x:v>MarA0630</x:v>
      </x:c>
      <x:c r="G152" s="12" t="n">
        <x:v>46306</x:v>
      </x:c>
      <x:c r="H152" s="13" t="n">
        <x:v>35.99999424</x:v>
      </x:c>
      <x:c r="I152"/>
      <x:c r="J152" s="12"/>
      <x:c r="K152" s="13"/>
      <x:c r="L152"/>
      <x:c r="M152" s="12"/>
      <x:c r="N152" s="13"/>
      <x:c r="O152" s="13" t="n">
        <x:f t="shared" si="12"/>
        <x:v>35.99999424</x:v>
      </x:c>
      <x:c r="P152" s="13" t="n">
        <x:f t="shared" si="13"/>
        <x:v>0</x:v>
      </x:c>
      <x:c r="Q152" t="str">
        <x:f t="shared" si="14"/>
        <x:v>OK</x:v>
      </x:c>
    </x:row>
    <x:row r="153">
      <x:c r="A153" s="12" t="n">
        <x:v>46217</x:v>
      </x:c>
      <x:c r="B153" t="str">
        <x:v>Šakotis</x:v>
      </x:c>
      <x:c r="C153" t="str">
        <x:v>L296</x:v>
      </x:c>
      <x:c r="D153" t="str">
        <x:v>Kvapnioji medžiaga</x:v>
      </x:c>
      <x:c r="E153" s="13" t="n">
        <x:v>0.11999904</x:v>
      </x:c>
      <x:c r="F153" t="str">
        <x:v>Kvp0630</x:v>
      </x:c>
      <x:c r="G153" s="12" t="n">
        <x:v>46388</x:v>
      </x:c>
      <x:c r="H153" s="13" t="n">
        <x:v>0.11999904</x:v>
      </x:c>
      <x:c r="I153"/>
      <x:c r="J153" s="12"/>
      <x:c r="K153" s="13"/>
      <x:c r="L153"/>
      <x:c r="M153" s="12"/>
      <x:c r="N153" s="13"/>
      <x:c r="O153" s="13" t="n">
        <x:f t="shared" si="12"/>
        <x:v>0.11999904</x:v>
      </x:c>
      <x:c r="P153" s="13" t="n">
        <x:f t="shared" si="13"/>
        <x:v>0</x:v>
      </x:c>
      <x:c r="Q153" t="str">
        <x:f t="shared" si="14"/>
        <x:v>OK</x:v>
      </x:c>
    </x:row>
    <x:row r="154">
      <x:c r="A154" s="12" t="n">
        <x:v>46217</x:v>
      </x:c>
      <x:c r="B154" t="str">
        <x:v>Šakotis</x:v>
      </x:c>
      <x:c r="C154" t="str">
        <x:v>L296</x:v>
      </x:c>
      <x:c r="D154" t="str">
        <x:v>Ciberžolė</x:v>
      </x:c>
      <x:c r="E154" s="13" t="n">
        <x:v>0.41999664</x:v>
      </x:c>
      <x:c r="F154" t="str">
        <x:v>Cib0630</x:v>
      </x:c>
      <x:c r="G154" s="12" t="n">
        <x:v>46573</x:v>
      </x:c>
      <x:c r="H154" s="13" t="n">
        <x:v>0.41999664</x:v>
      </x:c>
      <x:c r="I154"/>
      <x:c r="J154" s="12"/>
      <x:c r="K154" s="13"/>
      <x:c r="L154"/>
      <x:c r="M154" s="12"/>
      <x:c r="N154" s="13"/>
      <x:c r="O154" s="13" t="n">
        <x:f t="shared" si="12"/>
        <x:v>0.41999664</x:v>
      </x:c>
      <x:c r="P154" s="13" t="n">
        <x:f t="shared" si="13"/>
        <x:v>0</x:v>
      </x:c>
      <x:c r="Q154" t="str">
        <x:f t="shared" si="14"/>
        <x:v>OK</x:v>
      </x:c>
    </x:row>
    <x:row r="155">
      <x:c r="A155" s="12" t="n">
        <x:v>46217</x:v>
      </x:c>
      <x:c r="B155" t="str">
        <x:v>Šakotis</x:v>
      </x:c>
      <x:c r="C155" t="str">
        <x:v>L296</x:v>
      </x:c>
      <x:c r="D155" t="str">
        <x:v>Vanduo</x:v>
      </x:c>
      <x:c r="E155" s="13" t="n">
        <x:v>5.9988936</x:v>
      </x:c>
      <x:c r="F155" t="str">
        <x:v>Netaikoma</x:v>
      </x:c>
      <x:c r="G155" s="12"/>
      <x:c r="H155" s="13" t="n">
        <x:v>5.9988936</x:v>
      </x:c>
      <x:c r="I155"/>
      <x:c r="J155" s="12"/>
      <x:c r="K155" s="13"/>
      <x:c r="L155"/>
      <x:c r="M155" s="12"/>
      <x:c r="N155" s="13"/>
      <x:c r="O155" s="13" t="n">
        <x:f t="shared" si="12"/>
        <x:v>5.9988936</x:v>
      </x:c>
      <x:c r="P155" s="13" t="n">
        <x:f t="shared" si="13"/>
        <x:v>0</x:v>
      </x:c>
      <x:c r="Q155" t="str">
        <x:f t="shared" si="14"/>
        <x:v>OK</x:v>
      </x:c>
    </x:row>
    <x:row r="156">
      <x:c r="A156" s="12" t="n">
        <x:v>46217</x:v>
      </x:c>
      <x:c r="B156" t="str">
        <x:v>Trapus šakotis</x:v>
      </x:c>
      <x:c r="C156" t="str">
        <x:v>L296</x:v>
      </x:c>
      <x:c r="D156" t="str">
        <x:v>Miltai</x:v>
      </x:c>
      <x:c r="E156" s="13" t="n">
        <x:v>37.499994</x:v>
      </x:c>
      <x:c r="F156" t="str">
        <x:v>Mil0630</x:v>
      </x:c>
      <x:c r="G156" s="12" t="n">
        <x:v>46419</x:v>
      </x:c>
      <x:c r="H156" s="13" t="n">
        <x:v>37.499994</x:v>
      </x:c>
      <x:c r="I156"/>
      <x:c r="J156" s="12"/>
      <x:c r="K156" s="13"/>
      <x:c r="L156"/>
      <x:c r="M156" s="12"/>
      <x:c r="N156" s="13"/>
      <x:c r="O156" s="13" t="n">
        <x:f t="shared" si="12"/>
        <x:v>37.499994</x:v>
      </x:c>
      <x:c r="P156" s="13" t="n">
        <x:f t="shared" si="13"/>
        <x:v>0</x:v>
      </x:c>
      <x:c r="Q156" t="str">
        <x:f t="shared" si="14"/>
        <x:v>OK</x:v>
      </x:c>
    </x:row>
    <x:row r="157">
      <x:c r="A157" s="12" t="n">
        <x:v>46217</x:v>
      </x:c>
      <x:c r="B157" t="str">
        <x:v>Trapus šakotis</x:v>
      </x:c>
      <x:c r="C157" t="str">
        <x:v>L296</x:v>
      </x:c>
      <x:c r="D157" t="str">
        <x:v>Grietinės mišinys</x:v>
      </x:c>
      <x:c r="E157" s="13" t="n">
        <x:v>26.99999715</x:v>
      </x:c>
      <x:c r="F157" t="str">
        <x:v>Gr0710</x:v>
      </x:c>
      <x:c r="G157" s="12" t="n">
        <x:v>46221</x:v>
      </x:c>
      <x:c r="H157" s="13" t="n">
        <x:v>26.99999715</x:v>
      </x:c>
      <x:c r="I157"/>
      <x:c r="J157" s="12"/>
      <x:c r="K157" s="13"/>
      <x:c r="L157"/>
      <x:c r="M157" s="12"/>
      <x:c r="N157" s="13"/>
      <x:c r="O157" s="13" t="n">
        <x:f t="shared" si="12"/>
        <x:v>26.99999715</x:v>
      </x:c>
      <x:c r="P157" s="13" t="n">
        <x:f t="shared" si="13"/>
        <x:v>0</x:v>
      </x:c>
      <x:c r="Q157" t="str">
        <x:f t="shared" si="14"/>
        <x:v>OK</x:v>
      </x:c>
    </x:row>
    <x:row r="158">
      <x:c r="A158" s="12" t="n">
        <x:v>46217</x:v>
      </x:c>
      <x:c r="B158" t="str">
        <x:v>Trapus šakotis</x:v>
      </x:c>
      <x:c r="C158" t="str">
        <x:v>L296</x:v>
      </x:c>
      <x:c r="D158" t="str">
        <x:v>Kiaušiniai</x:v>
      </x:c>
      <x:c r="E158" s="13" t="n">
        <x:v>37.499994</x:v>
      </x:c>
      <x:c r="F158" t="str">
        <x:v>K0630</x:v>
      </x:c>
      <x:c r="G158" s="12" t="n">
        <x:v>46218</x:v>
      </x:c>
      <x:c r="H158" s="13" t="n">
        <x:v>37.499994</x:v>
      </x:c>
      <x:c r="I158"/>
      <x:c r="J158" s="12"/>
      <x:c r="K158" s="13"/>
      <x:c r="L158"/>
      <x:c r="M158" s="12"/>
      <x:c r="N158" s="13"/>
      <x:c r="O158" s="13" t="n">
        <x:f t="shared" si="12"/>
        <x:v>37.499994</x:v>
      </x:c>
      <x:c r="P158" s="13" t="n">
        <x:f t="shared" si="13"/>
        <x:v>0</x:v>
      </x:c>
      <x:c r="Q158" t="str">
        <x:f t="shared" si="14"/>
        <x:v>OK</x:v>
      </x:c>
    </x:row>
    <x:row r="159">
      <x:c r="A159" s="12" t="n">
        <x:v>46217</x:v>
      </x:c>
      <x:c r="B159" t="str">
        <x:v>Trapus šakotis</x:v>
      </x:c>
      <x:c r="C159" t="str">
        <x:v>L296</x:v>
      </x:c>
      <x:c r="D159" t="str">
        <x:v>Cukrus</x:v>
      </x:c>
      <x:c r="E159" s="13" t="n">
        <x:v>22.4999964</x:v>
      </x:c>
      <x:c r="F159" t="str">
        <x:v>Cuk0630</x:v>
      </x:c>
      <x:c r="G159" s="12" t="n">
        <x:v>46388</x:v>
      </x:c>
      <x:c r="H159" s="13" t="n">
        <x:v>22.4999964</x:v>
      </x:c>
      <x:c r="I159"/>
      <x:c r="J159" s="12"/>
      <x:c r="K159" s="13"/>
      <x:c r="L159"/>
      <x:c r="M159" s="12"/>
      <x:c r="N159" s="13"/>
      <x:c r="O159" s="13" t="n">
        <x:f t="shared" si="12"/>
        <x:v>22.4999964</x:v>
      </x:c>
      <x:c r="P159" s="13" t="n">
        <x:f t="shared" si="13"/>
        <x:v>0</x:v>
      </x:c>
      <x:c r="Q159" t="str">
        <x:f t="shared" si="14"/>
        <x:v>OK</x:v>
      </x:c>
    </x:row>
    <x:row r="160">
      <x:c r="A160" s="12" t="n">
        <x:v>46217</x:v>
      </x:c>
      <x:c r="B160" t="str">
        <x:v>Trapus šakotis</x:v>
      </x:c>
      <x:c r="C160" t="str">
        <x:v>L296</x:v>
      </x:c>
      <x:c r="D160" t="str">
        <x:v>Margarinas trapiam "IEVA"</x:v>
      </x:c>
      <x:c r="E160" s="13" t="n">
        <x:v>26.549964</x:v>
      </x:c>
      <x:c r="F160" t="str">
        <x:v>MarI0630</x:v>
      </x:c>
      <x:c r="G160" s="12" t="n">
        <x:v>46336</x:v>
      </x:c>
      <x:c r="H160" s="13" t="n">
        <x:v>26.549964</x:v>
      </x:c>
      <x:c r="I160"/>
      <x:c r="J160" s="12"/>
      <x:c r="K160" s="13"/>
      <x:c r="L160"/>
      <x:c r="M160" s="12"/>
      <x:c r="N160" s="13"/>
      <x:c r="O160" s="13" t="n">
        <x:f t="shared" si="12"/>
        <x:v>26.549964</x:v>
      </x:c>
      <x:c r="P160" s="13" t="n">
        <x:f t="shared" si="13"/>
        <x:v>0</x:v>
      </x:c>
      <x:c r="Q160" t="str">
        <x:f t="shared" si="14"/>
        <x:v>OK</x:v>
      </x:c>
    </x:row>
    <x:row r="161">
      <x:c r="A161" s="12" t="n">
        <x:v>46217</x:v>
      </x:c>
      <x:c r="B161" t="str">
        <x:v>Trapus šakotis</x:v>
      </x:c>
      <x:c r="C161" t="str">
        <x:v>L296</x:v>
      </x:c>
      <x:c r="D161"/>
      <x:c r="E161" s="13"/>
      <x:c r="F161"/>
      <x:c r="G161" s="12"/>
      <x:c r="H161" s="13"/>
      <x:c r="I161"/>
      <x:c r="J161" s="12"/>
      <x:c r="K161" s="13"/>
      <x:c r="L161"/>
      <x:c r="M161" s="12"/>
      <x:c r="N161" s="13"/>
      <x:c r="O161" s="13">
        <x:f t="shared" si="12"/>
      </x:c>
      <x:c r="P161" s="13">
        <x:f t="shared" si="13"/>
      </x:c>
      <x:c r="Q161">
        <x:f t="shared" si="14"/>
      </x:c>
    </x:row>
    <x:row r="162">
      <x:c r="A162" s="12" t="n">
        <x:v>46217</x:v>
      </x:c>
      <x:c r="B162" t="str">
        <x:v>Trapus šakotis</x:v>
      </x:c>
      <x:c r="C162" t="str">
        <x:v>L296</x:v>
      </x:c>
      <x:c r="D162"/>
      <x:c r="E162" s="13"/>
      <x:c r="F162"/>
      <x:c r="G162" s="12"/>
      <x:c r="H162" s="13"/>
      <x:c r="I162"/>
      <x:c r="J162" s="12"/>
      <x:c r="K162" s="13"/>
      <x:c r="L162"/>
      <x:c r="M162" s="12"/>
      <x:c r="N162" s="13"/>
      <x:c r="O162" s="13">
        <x:f t="shared" si="12"/>
      </x:c>
      <x:c r="P162" s="13">
        <x:f t="shared" si="13"/>
      </x:c>
      <x:c r="Q162">
        <x:f t="shared" si="14"/>
      </x:c>
    </x:row>
    <x:row r="163">
      <x:c r="A163" s="12" t="n">
        <x:v>46217</x:v>
      </x:c>
      <x:c r="B163" t="str">
        <x:v>Trapus šakotis</x:v>
      </x:c>
      <x:c r="C163" t="str">
        <x:v>L296</x:v>
      </x:c>
      <x:c r="D163"/>
      <x:c r="E163" s="13"/>
      <x:c r="F163"/>
      <x:c r="G163" s="12"/>
      <x:c r="H163" s="13"/>
      <x:c r="I163"/>
      <x:c r="J163" s="12"/>
      <x:c r="K163" s="13"/>
      <x:c r="L163"/>
      <x:c r="M163" s="12"/>
      <x:c r="N163" s="13"/>
      <x:c r="O163" s="13">
        <x:f t="shared" si="12"/>
      </x:c>
      <x:c r="P163" s="13">
        <x:f t="shared" si="13"/>
      </x:c>
      <x:c r="Q163">
        <x:f t="shared" si="14"/>
      </x:c>
    </x:row>
    <x:row r="164">
      <x:c r="A164" s="12" t="n">
        <x:v>46218</x:v>
      </x:c>
      <x:c r="B164" t="str">
        <x:v>Trapus šakotis</x:v>
      </x:c>
      <x:c r="C164" t="str">
        <x:v>L296</x:v>
      </x:c>
      <x:c r="D164" t="str">
        <x:v>Miltai</x:v>
      </x:c>
      <x:c r="E164" s="13" t="n">
        <x:v>84.9999864</x:v>
      </x:c>
      <x:c r="F164" t="str">
        <x:v>Mil0630</x:v>
      </x:c>
      <x:c r="G164" s="12" t="n">
        <x:v>46419</x:v>
      </x:c>
      <x:c r="H164" s="13" t="n">
        <x:v>84.9999864</x:v>
      </x:c>
      <x:c r="I164"/>
      <x:c r="J164" s="12"/>
      <x:c r="K164" s="13"/>
      <x:c r="L164"/>
      <x:c r="M164" s="12"/>
      <x:c r="N164" s="13"/>
      <x:c r="O164" s="13" t="n">
        <x:f t="shared" si="12"/>
        <x:v>84.9999864</x:v>
      </x:c>
      <x:c r="P164" s="13" t="n">
        <x:f t="shared" si="13"/>
        <x:v>0</x:v>
      </x:c>
      <x:c r="Q164" t="str">
        <x:f t="shared" si="14"/>
        <x:v>OK</x:v>
      </x:c>
    </x:row>
    <x:row r="165">
      <x:c r="A165" s="12" t="n">
        <x:v>46218</x:v>
      </x:c>
      <x:c r="B165" t="str">
        <x:v>Trapus šakotis</x:v>
      </x:c>
      <x:c r="C165" t="str">
        <x:v>L296</x:v>
      </x:c>
      <x:c r="D165" t="str">
        <x:v>Grietinės mišinys</x:v>
      </x:c>
      <x:c r="E165" s="13" t="n">
        <x:v>61.199993539999994</x:v>
      </x:c>
      <x:c r="F165" t="str">
        <x:v>Gr0710</x:v>
      </x:c>
      <x:c r="G165" s="12" t="n">
        <x:v>46221</x:v>
      </x:c>
      <x:c r="H165" s="13" t="n">
        <x:v>42.60002716999999</x:v>
      </x:c>
      <x:c r="I165" t="str">
        <x:v>Gr0715</x:v>
      </x:c>
      <x:c r="J165" s="12" t="n">
        <x:v>46227</x:v>
      </x:c>
      <x:c r="K165" s="13" t="n">
        <x:v>18.599966370000004</x:v>
      </x:c>
      <x:c r="L165"/>
      <x:c r="M165" s="12"/>
      <x:c r="N165" s="13"/>
      <x:c r="O165" s="13" t="n">
        <x:f t="shared" si="12"/>
        <x:v>61.199993539999994</x:v>
      </x:c>
      <x:c r="P165" s="13" t="n">
        <x:f t="shared" si="13"/>
        <x:v>0</x:v>
      </x:c>
      <x:c r="Q165" t="str">
        <x:f t="shared" si="14"/>
        <x:v>OK</x:v>
      </x:c>
    </x:row>
    <x:row r="166">
      <x:c r="A166" s="12" t="n">
        <x:v>46218</x:v>
      </x:c>
      <x:c r="B166" t="str">
        <x:v>Trapus šakotis</x:v>
      </x:c>
      <x:c r="C166" t="str">
        <x:v>L296</x:v>
      </x:c>
      <x:c r="D166" t="str">
        <x:v>Kiaušiniai</x:v>
      </x:c>
      <x:c r="E166" s="13" t="n">
        <x:v>84.9999864</x:v>
      </x:c>
      <x:c r="F166" t="str">
        <x:v>K0630</x:v>
      </x:c>
      <x:c r="G166" s="12" t="n">
        <x:v>46218</x:v>
      </x:c>
      <x:c r="H166" s="13" t="n">
        <x:v>84.9999864</x:v>
      </x:c>
      <x:c r="I166"/>
      <x:c r="J166" s="12"/>
      <x:c r="K166" s="13"/>
      <x:c r="L166"/>
      <x:c r="M166" s="12"/>
      <x:c r="N166" s="13"/>
      <x:c r="O166" s="13" t="n">
        <x:f t="shared" si="12"/>
        <x:v>84.9999864</x:v>
      </x:c>
      <x:c r="P166" s="13" t="n">
        <x:f t="shared" si="13"/>
        <x:v>0</x:v>
      </x:c>
      <x:c r="Q166" t="str">
        <x:f t="shared" si="14"/>
        <x:v>OK</x:v>
      </x:c>
    </x:row>
    <x:row r="167">
      <x:c r="A167" s="12" t="n">
        <x:v>46218</x:v>
      </x:c>
      <x:c r="B167" t="str">
        <x:v>Trapus šakotis</x:v>
      </x:c>
      <x:c r="C167" t="str">
        <x:v>L296</x:v>
      </x:c>
      <x:c r="D167" t="str">
        <x:v>Cukrus</x:v>
      </x:c>
      <x:c r="E167" s="13" t="n">
        <x:v>50.99999184</x:v>
      </x:c>
      <x:c r="F167" t="str">
        <x:v>Cuk0630</x:v>
      </x:c>
      <x:c r="G167" s="12" t="n">
        <x:v>46388</x:v>
      </x:c>
      <x:c r="H167" s="13" t="n">
        <x:v>50.99999184</x:v>
      </x:c>
      <x:c r="I167"/>
      <x:c r="J167" s="12"/>
      <x:c r="K167" s="13"/>
      <x:c r="L167"/>
      <x:c r="M167" s="12"/>
      <x:c r="N167" s="13"/>
      <x:c r="O167" s="13" t="n">
        <x:f t="shared" si="12"/>
        <x:v>50.99999184</x:v>
      </x:c>
      <x:c r="P167" s="13" t="n">
        <x:f t="shared" si="13"/>
        <x:v>0</x:v>
      </x:c>
      <x:c r="Q167" t="str">
        <x:f t="shared" si="14"/>
        <x:v>OK</x:v>
      </x:c>
    </x:row>
    <x:row r="168">
      <x:c r="A168" s="12" t="n">
        <x:v>46218</x:v>
      </x:c>
      <x:c r="B168" t="str">
        <x:v>Trapus šakotis</x:v>
      </x:c>
      <x:c r="C168" t="str">
        <x:v>L296</x:v>
      </x:c>
      <x:c r="D168" t="str">
        <x:v>Margarinas trapiam "IEVA"</x:v>
      </x:c>
      <x:c r="E168" s="13" t="n">
        <x:v>60.1799184</x:v>
      </x:c>
      <x:c r="F168" t="str">
        <x:v>MarI0630</x:v>
      </x:c>
      <x:c r="G168" s="12" t="n">
        <x:v>46336</x:v>
      </x:c>
      <x:c r="H168" s="13" t="n">
        <x:v>60.1799184</x:v>
      </x:c>
      <x:c r="I168"/>
      <x:c r="J168" s="12"/>
      <x:c r="K168" s="13"/>
      <x:c r="L168"/>
      <x:c r="M168" s="12"/>
      <x:c r="N168" s="13"/>
      <x:c r="O168" s="13" t="n">
        <x:f t="shared" si="12"/>
        <x:v>60.1799184</x:v>
      </x:c>
      <x:c r="P168" s="13" t="n">
        <x:f t="shared" si="13"/>
        <x:v>0</x:v>
      </x:c>
      <x:c r="Q168" t="str">
        <x:f t="shared" si="14"/>
        <x:v>OK</x:v>
      </x:c>
    </x:row>
    <x:row r="169">
      <x:c r="A169" s="12" t="n">
        <x:v>46218</x:v>
      </x:c>
      <x:c r="B169" t="str">
        <x:v>Trapus šakotis</x:v>
      </x:c>
      <x:c r="C169" t="str">
        <x:v>L296</x:v>
      </x:c>
      <x:c r="D169"/>
      <x:c r="E169" s="13"/>
      <x:c r="F169"/>
      <x:c r="G169" s="12"/>
      <x:c r="H169" s="13"/>
      <x:c r="I169"/>
      <x:c r="J169" s="12"/>
      <x:c r="K169" s="13"/>
      <x:c r="L169"/>
      <x:c r="M169" s="12"/>
      <x:c r="N169" s="13"/>
      <x:c r="O169" s="13">
        <x:f t="shared" si="12"/>
      </x:c>
      <x:c r="P169" s="13">
        <x:f t="shared" si="13"/>
      </x:c>
      <x:c r="Q169">
        <x:f t="shared" si="14"/>
      </x:c>
    </x:row>
    <x:row r="170">
      <x:c r="A170" s="12" t="n">
        <x:v>46218</x:v>
      </x:c>
      <x:c r="B170" t="str">
        <x:v>Trapus šakotis</x:v>
      </x:c>
      <x:c r="C170" t="str">
        <x:v>L296</x:v>
      </x:c>
      <x:c r="D170"/>
      <x:c r="E170" s="13"/>
      <x:c r="F170"/>
      <x:c r="G170" s="12"/>
      <x:c r="H170" s="13"/>
      <x:c r="I170"/>
      <x:c r="J170" s="12"/>
      <x:c r="K170" s="13"/>
      <x:c r="L170"/>
      <x:c r="M170" s="12"/>
      <x:c r="N170" s="13"/>
      <x:c r="O170" s="13">
        <x:f t="shared" si="12"/>
      </x:c>
      <x:c r="P170" s="13">
        <x:f t="shared" si="13"/>
      </x:c>
      <x:c r="Q170">
        <x:f t="shared" si="14"/>
      </x:c>
    </x:row>
    <x:row r="171">
      <x:c r="A171" s="12" t="n">
        <x:v>46218</x:v>
      </x:c>
      <x:c r="B171" t="str">
        <x:v>Trapus šakotis</x:v>
      </x:c>
      <x:c r="C171" t="str">
        <x:v>L296</x:v>
      </x:c>
      <x:c r="D171"/>
      <x:c r="E171" s="13"/>
      <x:c r="F171"/>
      <x:c r="G171" s="12"/>
      <x:c r="H171" s="13"/>
      <x:c r="I171"/>
      <x:c r="J171" s="12"/>
      <x:c r="K171" s="13"/>
      <x:c r="L171"/>
      <x:c r="M171" s="12"/>
      <x:c r="N171" s="13"/>
      <x:c r="O171" s="13">
        <x:f t="shared" si="12"/>
      </x:c>
      <x:c r="P171" s="13">
        <x:f t="shared" si="13"/>
      </x:c>
      <x:c r="Q171">
        <x:f t="shared" si="14"/>
      </x:c>
    </x:row>
    <x:row r="172">
      <x:c r="A172" s="12" t="n">
        <x:v>46218</x:v>
      </x:c>
      <x:c r="B172" t="str">
        <x:v>Šakotis su sviestu</x:v>
      </x:c>
      <x:c r="C172" t="str">
        <x:v>L296</x:v>
      </x:c>
      <x:c r="D172" t="str">
        <x:v>Miltai</x:v>
      </x:c>
      <x:c r="E172" s="13" t="n">
        <x:v>51.99999168</x:v>
      </x:c>
      <x:c r="F172" t="str">
        <x:v>Mil0630</x:v>
      </x:c>
      <x:c r="G172" s="12" t="n">
        <x:v>46419</x:v>
      </x:c>
      <x:c r="H172" s="13" t="n">
        <x:v>51.99999168</x:v>
      </x:c>
      <x:c r="I172"/>
      <x:c r="J172" s="12"/>
      <x:c r="K172" s="13"/>
      <x:c r="L172"/>
      <x:c r="M172" s="12"/>
      <x:c r="N172" s="13"/>
      <x:c r="O172" s="13" t="n">
        <x:f t="shared" si="12"/>
        <x:v>51.99999168</x:v>
      </x:c>
      <x:c r="P172" s="13" t="n">
        <x:f t="shared" si="13"/>
        <x:v>0</x:v>
      </x:c>
      <x:c r="Q172" t="str">
        <x:f t="shared" si="14"/>
        <x:v>OK</x:v>
      </x:c>
    </x:row>
    <x:row r="173">
      <x:c r="A173" s="12" t="n">
        <x:v>46218</x:v>
      </x:c>
      <x:c r="B173" t="str">
        <x:v>Šakotis su sviestu</x:v>
      </x:c>
      <x:c r="C173" t="str">
        <x:v>L296</x:v>
      </x:c>
      <x:c r="D173" t="str">
        <x:v>Pienas</x:v>
      </x:c>
      <x:c r="E173" s="13" t="n">
        <x:v>19.49999688</x:v>
      </x:c>
      <x:c r="F173" t="str">
        <x:v>P0710</x:v>
      </x:c>
      <x:c r="G173" s="12" t="n">
        <x:v>46220</x:v>
      </x:c>
      <x:c r="H173" s="13" t="n">
        <x:v>14.00000576</x:v>
      </x:c>
      <x:c r="I173" t="str">
        <x:v>P0715</x:v>
      </x:c>
      <x:c r="J173" s="12" t="n">
        <x:v>46224</x:v>
      </x:c>
      <x:c r="K173" s="13" t="n">
        <x:v>5.499991120000001</x:v>
      </x:c>
      <x:c r="L173"/>
      <x:c r="M173" s="12"/>
      <x:c r="N173" s="13"/>
      <x:c r="O173" s="13" t="n">
        <x:f t="shared" si="12"/>
        <x:v>19.49999688</x:v>
      </x:c>
      <x:c r="P173" s="13" t="n">
        <x:f t="shared" si="13"/>
        <x:v>0</x:v>
      </x:c>
      <x:c r="Q173" t="str">
        <x:f t="shared" si="14"/>
        <x:v>OK</x:v>
      </x:c>
    </x:row>
    <x:row r="174">
      <x:c r="A174" s="12" t="n">
        <x:v>46218</x:v>
      </x:c>
      <x:c r="B174" t="str">
        <x:v>Šakotis su sviestu</x:v>
      </x:c>
      <x:c r="C174" t="str">
        <x:v>L296</x:v>
      </x:c>
      <x:c r="D174" t="str">
        <x:v>Kiaušiniai</x:v>
      </x:c>
      <x:c r="E174" s="13" t="n">
        <x:v>71.4999376</x:v>
      </x:c>
      <x:c r="F174" t="str">
        <x:v>K0630</x:v>
      </x:c>
      <x:c r="G174" s="12" t="n">
        <x:v>46218</x:v>
      </x:c>
      <x:c r="H174" s="13" t="n">
        <x:v>71.4999376</x:v>
      </x:c>
      <x:c r="I174"/>
      <x:c r="J174" s="12"/>
      <x:c r="K174" s="13"/>
      <x:c r="L174"/>
      <x:c r="M174" s="12"/>
      <x:c r="N174" s="13"/>
      <x:c r="O174" s="13" t="n">
        <x:f t="shared" si="12"/>
        <x:v>71.4999376</x:v>
      </x:c>
      <x:c r="P174" s="13" t="n">
        <x:f t="shared" si="13"/>
        <x:v>0</x:v>
      </x:c>
      <x:c r="Q174" t="str">
        <x:f t="shared" si="14"/>
        <x:v>OK</x:v>
      </x:c>
    </x:row>
    <x:row r="175">
      <x:c r="A175" s="12" t="n">
        <x:v>46218</x:v>
      </x:c>
      <x:c r="B175" t="str">
        <x:v>Šakotis su sviestu</x:v>
      </x:c>
      <x:c r="C175" t="str">
        <x:v>L296</x:v>
      </x:c>
      <x:c r="D175" t="str">
        <x:v>Cukrus</x:v>
      </x:c>
      <x:c r="E175" s="13" t="n">
        <x:v>38.99999376</x:v>
      </x:c>
      <x:c r="F175" t="str">
        <x:v>Cuk0630</x:v>
      </x:c>
      <x:c r="G175" s="12" t="n">
        <x:v>46388</x:v>
      </x:c>
      <x:c r="H175" s="13" t="n">
        <x:v>38.99999376</x:v>
      </x:c>
      <x:c r="I175"/>
      <x:c r="J175" s="12"/>
      <x:c r="K175" s="13"/>
      <x:c r="L175"/>
      <x:c r="M175" s="12"/>
      <x:c r="N175" s="13"/>
      <x:c r="O175" s="13" t="n">
        <x:f t="shared" si="12"/>
        <x:v>38.99999376</x:v>
      </x:c>
      <x:c r="P175" s="13" t="n">
        <x:f t="shared" si="13"/>
        <x:v>0</x:v>
      </x:c>
      <x:c r="Q175" t="str">
        <x:f t="shared" si="14"/>
        <x:v>OK</x:v>
      </x:c>
    </x:row>
    <x:row r="176">
      <x:c r="A176" s="12" t="n">
        <x:v>46218</x:v>
      </x:c>
      <x:c r="B176" t="str">
        <x:v>Šakotis su sviestu</x:v>
      </x:c>
      <x:c r="C176" t="str">
        <x:v>L296</x:v>
      </x:c>
      <x:c r="D176" t="str">
        <x:v>Sviestas</x:v>
      </x:c>
      <x:c r="E176" s="13" t="n">
        <x:v>38.99999376</x:v>
      </x:c>
      <x:c r="F176" t="str">
        <x:v>Sv0630</x:v>
      </x:c>
      <x:c r="G176" s="12" t="n">
        <x:v>46368</x:v>
      </x:c>
      <x:c r="H176" s="13" t="n">
        <x:v>38.99999376</x:v>
      </x:c>
      <x:c r="I176"/>
      <x:c r="J176" s="12"/>
      <x:c r="K176" s="13"/>
      <x:c r="L176"/>
      <x:c r="M176" s="12"/>
      <x:c r="N176" s="13"/>
      <x:c r="O176" s="13" t="n">
        <x:f t="shared" si="12"/>
        <x:v>38.99999376</x:v>
      </x:c>
      <x:c r="P176" s="13" t="n">
        <x:f t="shared" si="13"/>
        <x:v>0</x:v>
      </x:c>
      <x:c r="Q176" t="str">
        <x:f t="shared" si="14"/>
        <x:v>OK</x:v>
      </x:c>
    </x:row>
    <x:row r="177">
      <x:c r="A177" s="12" t="n">
        <x:v>46218</x:v>
      </x:c>
      <x:c r="B177" t="str">
        <x:v>Šakotis su sviestu</x:v>
      </x:c>
      <x:c r="C177" t="str">
        <x:v>L296</x:v>
      </x:c>
      <x:c r="D177" t="str">
        <x:v>Kvapnioji medžiaga</x:v>
      </x:c>
      <x:c r="E177" s="13" t="n">
        <x:v>0.12999896000000002</x:v>
      </x:c>
      <x:c r="F177" t="str">
        <x:v>Kvp0630</x:v>
      </x:c>
      <x:c r="G177" s="12" t="n">
        <x:v>46388</x:v>
      </x:c>
      <x:c r="H177" s="13" t="n">
        <x:v>0.12999896000000002</x:v>
      </x:c>
      <x:c r="I177"/>
      <x:c r="J177" s="12"/>
      <x:c r="K177" s="13"/>
      <x:c r="L177"/>
      <x:c r="M177" s="12"/>
      <x:c r="N177" s="13"/>
      <x:c r="O177" s="13" t="n">
        <x:f t="shared" si="12"/>
        <x:v>0.12999896000000002</x:v>
      </x:c>
      <x:c r="P177" s="13" t="n">
        <x:f t="shared" si="13"/>
        <x:v>0</x:v>
      </x:c>
      <x:c r="Q177" t="str">
        <x:f t="shared" si="14"/>
        <x:v>OK</x:v>
      </x:c>
    </x:row>
    <x:row r="178">
      <x:c r="A178" s="12" t="n">
        <x:v>46218</x:v>
      </x:c>
      <x:c r="B178" t="str">
        <x:v>Šakotis su sviestu</x:v>
      </x:c>
      <x:c r="C178" t="str">
        <x:v>L296</x:v>
      </x:c>
      <x:c r="D178" t="str">
        <x:v>Ciberžolė</x:v>
      </x:c>
      <x:c r="E178" s="13" t="n">
        <x:v>0.45499636000000004</x:v>
      </x:c>
      <x:c r="F178" t="str">
        <x:v>Cib0630</x:v>
      </x:c>
      <x:c r="G178" s="12" t="n">
        <x:v>46573</x:v>
      </x:c>
      <x:c r="H178" s="13" t="n">
        <x:v>0.45499636000000004</x:v>
      </x:c>
      <x:c r="I178"/>
      <x:c r="J178" s="12"/>
      <x:c r="K178" s="13"/>
      <x:c r="L178"/>
      <x:c r="M178" s="12"/>
      <x:c r="N178" s="13"/>
      <x:c r="O178" s="13" t="n">
        <x:f t="shared" si="12"/>
        <x:v>0.45499636000000004</x:v>
      </x:c>
      <x:c r="P178" s="13" t="n">
        <x:f t="shared" si="13"/>
        <x:v>0</x:v>
      </x:c>
      <x:c r="Q178" t="str">
        <x:f t="shared" si="14"/>
        <x:v>OK</x:v>
      </x:c>
    </x:row>
    <x:row r="179">
      <x:c r="A179" s="12" t="n">
        <x:v>46218</x:v>
      </x:c>
      <x:c r="B179" t="str">
        <x:v>Šakotis su sviestu</x:v>
      </x:c>
      <x:c r="C179" t="str">
        <x:v>L296</x:v>
      </x:c>
      <x:c r="D179" t="str">
        <x:v>Vanduo</x:v>
      </x:c>
      <x:c r="E179" s="13" t="n">
        <x:v>12.999896000000001</x:v>
      </x:c>
      <x:c r="F179" t="str">
        <x:v>Netaikoma</x:v>
      </x:c>
      <x:c r="G179" s="12"/>
      <x:c r="H179" s="13" t="n">
        <x:v>12.999896000000001</x:v>
      </x:c>
      <x:c r="I179"/>
      <x:c r="J179" s="12"/>
      <x:c r="K179" s="13"/>
      <x:c r="L179"/>
      <x:c r="M179" s="12"/>
      <x:c r="N179" s="13"/>
      <x:c r="O179" s="13" t="n">
        <x:f t="shared" si="12"/>
        <x:v>12.999896000000001</x:v>
      </x:c>
      <x:c r="P179" s="13" t="n">
        <x:f t="shared" si="13"/>
        <x:v>0</x:v>
      </x:c>
      <x:c r="Q179" t="str">
        <x:f t="shared" si="14"/>
        <x:v>OK</x:v>
      </x:c>
    </x:row>
    <x:row r="180">
      <x:c r="A180" s="12" t="n">
        <x:v>46219</x:v>
      </x:c>
      <x:c r="B180" t="str">
        <x:v>Šakotis</x:v>
      </x:c>
      <x:c r="C180" t="str">
        <x:v>L296</x:v>
      </x:c>
      <x:c r="D180" t="str">
        <x:v>Miltai</x:v>
      </x:c>
      <x:c r="E180" s="13" t="n">
        <x:v>47.99999232</x:v>
      </x:c>
      <x:c r="F180" t="str">
        <x:v>Mil0630</x:v>
      </x:c>
      <x:c r="G180" s="12" t="n">
        <x:v>46419</x:v>
      </x:c>
      <x:c r="H180" s="13" t="n">
        <x:v>47.99999232</x:v>
      </x:c>
      <x:c r="I180"/>
      <x:c r="J180" s="12"/>
      <x:c r="K180" s="13"/>
      <x:c r="L180"/>
      <x:c r="M180" s="12"/>
      <x:c r="N180" s="13"/>
      <x:c r="O180" s="13" t="n">
        <x:f t="shared" si="12"/>
        <x:v>47.99999232</x:v>
      </x:c>
      <x:c r="P180" s="13" t="n">
        <x:f t="shared" si="13"/>
        <x:v>0</x:v>
      </x:c>
      <x:c r="Q180" t="str">
        <x:f t="shared" si="14"/>
        <x:v>OK</x:v>
      </x:c>
    </x:row>
    <x:row r="181">
      <x:c r="A181" s="12" t="n">
        <x:v>46219</x:v>
      </x:c>
      <x:c r="B181" t="str">
        <x:v>Šakotis</x:v>
      </x:c>
      <x:c r="C181" t="str">
        <x:v>L296</x:v>
      </x:c>
      <x:c r="D181" t="str">
        <x:v>Pienas</x:v>
      </x:c>
      <x:c r="E181" s="13" t="n">
        <x:v>17.99999712</x:v>
      </x:c>
      <x:c r="F181" t="str">
        <x:v>P0715</x:v>
      </x:c>
      <x:c r="G181" s="12" t="n">
        <x:v>46224</x:v>
      </x:c>
      <x:c r="H181" s="13" t="n">
        <x:v>17.99999712</x:v>
      </x:c>
      <x:c r="I181"/>
      <x:c r="J181" s="12"/>
      <x:c r="K181" s="13"/>
      <x:c r="L181"/>
      <x:c r="M181" s="12"/>
      <x:c r="N181" s="13"/>
      <x:c r="O181" s="13" t="n">
        <x:f t="shared" si="12"/>
        <x:v>17.99999712</x:v>
      </x:c>
      <x:c r="P181" s="13" t="n">
        <x:f t="shared" si="13"/>
        <x:v>0</x:v>
      </x:c>
      <x:c r="Q181" t="str">
        <x:f t="shared" si="14"/>
        <x:v>OK</x:v>
      </x:c>
    </x:row>
    <x:row r="182">
      <x:c r="A182" s="12" t="n">
        <x:v>46219</x:v>
      </x:c>
      <x:c r="B182" t="str">
        <x:v>Šakotis</x:v>
      </x:c>
      <x:c r="C182" t="str">
        <x:v>L296</x:v>
      </x:c>
      <x:c r="D182" t="str">
        <x:v>Kiaušiniai</x:v>
      </x:c>
      <x:c r="E182" s="13" t="n">
        <x:v>65.9999424</x:v>
      </x:c>
      <x:c r="F182" t="str">
        <x:v>K0713</x:v>
      </x:c>
      <x:c r="G182" s="12" t="n">
        <x:v>46237</x:v>
      </x:c>
      <x:c r="H182" s="13" t="n">
        <x:v>65.9999424</x:v>
      </x:c>
      <x:c r="I182"/>
      <x:c r="J182" s="12"/>
      <x:c r="K182" s="13"/>
      <x:c r="L182"/>
      <x:c r="M182" s="12"/>
      <x:c r="N182" s="13"/>
      <x:c r="O182" s="13" t="n">
        <x:f t="shared" si="12"/>
        <x:v>65.9999424</x:v>
      </x:c>
      <x:c r="P182" s="13" t="n">
        <x:f t="shared" si="13"/>
        <x:v>0</x:v>
      </x:c>
      <x:c r="Q182" t="str">
        <x:f t="shared" si="14"/>
        <x:v>OK</x:v>
      </x:c>
    </x:row>
    <x:row r="183">
      <x:c r="A183" s="12" t="n">
        <x:v>46219</x:v>
      </x:c>
      <x:c r="B183" t="str">
        <x:v>Šakotis</x:v>
      </x:c>
      <x:c r="C183" t="str">
        <x:v>L296</x:v>
      </x:c>
      <x:c r="D183" t="str">
        <x:v>Cukrus</x:v>
      </x:c>
      <x:c r="E183" s="13" t="n">
        <x:v>35.99999424</x:v>
      </x:c>
      <x:c r="F183" t="str">
        <x:v>Cuk0630</x:v>
      </x:c>
      <x:c r="G183" s="12" t="n">
        <x:v>46388</x:v>
      </x:c>
      <x:c r="H183" s="13" t="n">
        <x:v>14.806280079999965</x:v>
      </x:c>
      <x:c r="I183" t="str">
        <x:v>Cuk0701</x:v>
      </x:c>
      <x:c r="J183" s="12" t="n">
        <x:v>46388</x:v>
      </x:c>
      <x:c r="K183" s="13" t="n">
        <x:v>21.193714160000034</x:v>
      </x:c>
      <x:c r="L183"/>
      <x:c r="M183" s="12"/>
      <x:c r="N183" s="13"/>
      <x:c r="O183" s="13" t="n">
        <x:f t="shared" si="12"/>
        <x:v>35.99999424</x:v>
      </x:c>
      <x:c r="P183" s="13" t="n">
        <x:f t="shared" si="13"/>
        <x:v>0</x:v>
      </x:c>
      <x:c r="Q183" t="str">
        <x:f t="shared" si="14"/>
        <x:v>OK</x:v>
      </x:c>
    </x:row>
    <x:row r="184">
      <x:c r="A184" s="12" t="n">
        <x:v>46219</x:v>
      </x:c>
      <x:c r="B184" t="str">
        <x:v>Šakotis</x:v>
      </x:c>
      <x:c r="C184" t="str">
        <x:v>L296</x:v>
      </x:c>
      <x:c r="D184" t="str">
        <x:v>Margarinas Šakočiui "Alvas"</x:v>
      </x:c>
      <x:c r="E184" s="13" t="n">
        <x:v>35.99999424</x:v>
      </x:c>
      <x:c r="F184" t="str">
        <x:v>MarA0630</x:v>
      </x:c>
      <x:c r="G184" s="12" t="n">
        <x:v>46306</x:v>
      </x:c>
      <x:c r="H184" s="13" t="n">
        <x:v>35.99999424</x:v>
      </x:c>
      <x:c r="I184"/>
      <x:c r="J184" s="12"/>
      <x:c r="K184" s="13"/>
      <x:c r="L184"/>
      <x:c r="M184" s="12"/>
      <x:c r="N184" s="13"/>
      <x:c r="O184" s="13" t="n">
        <x:f t="shared" si="12"/>
        <x:v>35.99999424</x:v>
      </x:c>
      <x:c r="P184" s="13" t="n">
        <x:f t="shared" si="13"/>
        <x:v>0</x:v>
      </x:c>
      <x:c r="Q184" t="str">
        <x:f t="shared" si="14"/>
        <x:v>OK</x:v>
      </x:c>
    </x:row>
    <x:row r="185">
      <x:c r="A185" s="12" t="n">
        <x:v>46219</x:v>
      </x:c>
      <x:c r="B185" t="str">
        <x:v>Šakotis</x:v>
      </x:c>
      <x:c r="C185" t="str">
        <x:v>L296</x:v>
      </x:c>
      <x:c r="D185" t="str">
        <x:v>Kvapnioji medžiaga</x:v>
      </x:c>
      <x:c r="E185" s="13" t="n">
        <x:v>0.11999904</x:v>
      </x:c>
      <x:c r="F185" t="str">
        <x:v>Kvp0630</x:v>
      </x:c>
      <x:c r="G185" s="12" t="n">
        <x:v>46388</x:v>
      </x:c>
      <x:c r="H185" s="13" t="n">
        <x:v>0.11999904</x:v>
      </x:c>
      <x:c r="I185"/>
      <x:c r="J185" s="12"/>
      <x:c r="K185" s="13"/>
      <x:c r="L185"/>
      <x:c r="M185" s="12"/>
      <x:c r="N185" s="13"/>
      <x:c r="O185" s="13" t="n">
        <x:f t="shared" si="12"/>
        <x:v>0.11999904</x:v>
      </x:c>
      <x:c r="P185" s="13" t="n">
        <x:f t="shared" si="13"/>
        <x:v>0</x:v>
      </x:c>
      <x:c r="Q185" t="str">
        <x:f t="shared" si="14"/>
        <x:v>OK</x:v>
      </x:c>
    </x:row>
    <x:row r="186">
      <x:c r="A186" s="12" t="n">
        <x:v>46219</x:v>
      </x:c>
      <x:c r="B186" t="str">
        <x:v>Šakotis</x:v>
      </x:c>
      <x:c r="C186" t="str">
        <x:v>L296</x:v>
      </x:c>
      <x:c r="D186" t="str">
        <x:v>Ciberžolė</x:v>
      </x:c>
      <x:c r="E186" s="13" t="n">
        <x:v>0.41999664</x:v>
      </x:c>
      <x:c r="F186" t="str">
        <x:v>Cib0630</x:v>
      </x:c>
      <x:c r="G186" s="12" t="n">
        <x:v>46573</x:v>
      </x:c>
      <x:c r="H186" s="13" t="n">
        <x:v>0.41999664</x:v>
      </x:c>
      <x:c r="I186"/>
      <x:c r="J186" s="12"/>
      <x:c r="K186" s="13"/>
      <x:c r="L186"/>
      <x:c r="M186" s="12"/>
      <x:c r="N186" s="13"/>
      <x:c r="O186" s="13" t="n">
        <x:f t="shared" si="12"/>
        <x:v>0.41999664</x:v>
      </x:c>
      <x:c r="P186" s="13" t="n">
        <x:f t="shared" si="13"/>
        <x:v>0</x:v>
      </x:c>
      <x:c r="Q186" t="str">
        <x:f t="shared" si="14"/>
        <x:v>OK</x:v>
      </x:c>
    </x:row>
    <x:row r="187">
      <x:c r="A187" s="12" t="n">
        <x:v>46219</x:v>
      </x:c>
      <x:c r="B187" t="str">
        <x:v>Šakotis</x:v>
      </x:c>
      <x:c r="C187" t="str">
        <x:v>L296</x:v>
      </x:c>
      <x:c r="D187" t="str">
        <x:v>Vanduo</x:v>
      </x:c>
      <x:c r="E187" s="13" t="n">
        <x:v>5.9988936</x:v>
      </x:c>
      <x:c r="F187" t="str">
        <x:v>Netaikoma</x:v>
      </x:c>
      <x:c r="G187" s="12"/>
      <x:c r="H187" s="13" t="n">
        <x:v>5.9988936</x:v>
      </x:c>
      <x:c r="I187"/>
      <x:c r="J187" s="12"/>
      <x:c r="K187" s="13"/>
      <x:c r="L187"/>
      <x:c r="M187" s="12"/>
      <x:c r="N187" s="13"/>
      <x:c r="O187" s="13" t="n">
        <x:f t="shared" si="12"/>
        <x:v>5.9988936</x:v>
      </x:c>
      <x:c r="P187" s="13" t="n">
        <x:f t="shared" si="13"/>
        <x:v>0</x:v>
      </x:c>
      <x:c r="Q187" t="str">
        <x:f t="shared" si="14"/>
        <x:v>OK</x:v>
      </x:c>
    </x:row>
    <x:row r="188">
      <x:c r="A188" s="12" t="n">
        <x:v>46219</x:v>
      </x:c>
      <x:c r="B188" t="str">
        <x:v>Trapus šakotis</x:v>
      </x:c>
      <x:c r="C188" t="str">
        <x:v>L296</x:v>
      </x:c>
      <x:c r="D188" t="str">
        <x:v>Miltai</x:v>
      </x:c>
      <x:c r="E188" s="13" t="n">
        <x:v>79.9999872</x:v>
      </x:c>
      <x:c r="F188" t="str">
        <x:v>Mil0630</x:v>
      </x:c>
      <x:c r="G188" s="12" t="n">
        <x:v>46419</x:v>
      </x:c>
      <x:c r="H188" s="13" t="n">
        <x:v>79.9999872</x:v>
      </x:c>
      <x:c r="I188"/>
      <x:c r="J188" s="12"/>
      <x:c r="K188" s="13"/>
      <x:c r="L188"/>
      <x:c r="M188" s="12"/>
      <x:c r="N188" s="13"/>
      <x:c r="O188" s="13" t="n">
        <x:f t="shared" si="12"/>
        <x:v>79.9999872</x:v>
      </x:c>
      <x:c r="P188" s="13" t="n">
        <x:f t="shared" si="13"/>
        <x:v>0</x:v>
      </x:c>
      <x:c r="Q188" t="str">
        <x:f t="shared" si="14"/>
        <x:v>OK</x:v>
      </x:c>
    </x:row>
    <x:row r="189">
      <x:c r="A189" s="12" t="n">
        <x:v>46219</x:v>
      </x:c>
      <x:c r="B189" t="str">
        <x:v>Trapus šakotis</x:v>
      </x:c>
      <x:c r="C189" t="str">
        <x:v>L296</x:v>
      </x:c>
      <x:c r="D189" t="str">
        <x:v>Grietinės mišinys</x:v>
      </x:c>
      <x:c r="E189" s="13" t="n">
        <x:v>57.59999392</x:v>
      </x:c>
      <x:c r="F189" t="str">
        <x:v>Gr0715</x:v>
      </x:c>
      <x:c r="G189" s="12" t="n">
        <x:v>46227</x:v>
      </x:c>
      <x:c r="H189" s="13" t="n">
        <x:v>57.59999392</x:v>
      </x:c>
      <x:c r="I189"/>
      <x:c r="J189" s="12"/>
      <x:c r="K189" s="13"/>
      <x:c r="L189"/>
      <x:c r="M189" s="12"/>
      <x:c r="N189" s="13"/>
      <x:c r="O189" s="13" t="n">
        <x:f t="shared" si="12"/>
        <x:v>57.59999392</x:v>
      </x:c>
      <x:c r="P189" s="13" t="n">
        <x:f t="shared" si="13"/>
        <x:v>0</x:v>
      </x:c>
      <x:c r="Q189" t="str">
        <x:f t="shared" si="14"/>
        <x:v>OK</x:v>
      </x:c>
    </x:row>
    <x:row r="190">
      <x:c r="A190" s="12" t="n">
        <x:v>46219</x:v>
      </x:c>
      <x:c r="B190" t="str">
        <x:v>Trapus šakotis</x:v>
      </x:c>
      <x:c r="C190" t="str">
        <x:v>L296</x:v>
      </x:c>
      <x:c r="D190" t="str">
        <x:v>Kiaušiniai</x:v>
      </x:c>
      <x:c r="E190" s="13" t="n">
        <x:v>79.9999872</x:v>
      </x:c>
      <x:c r="F190" t="str">
        <x:v>K0713</x:v>
      </x:c>
      <x:c r="G190" s="12" t="n">
        <x:v>46237</x:v>
      </x:c>
      <x:c r="H190" s="13" t="n">
        <x:v>79.9999872</x:v>
      </x:c>
      <x:c r="I190"/>
      <x:c r="J190" s="12"/>
      <x:c r="K190" s="13"/>
      <x:c r="L190"/>
      <x:c r="M190" s="12"/>
      <x:c r="N190" s="13"/>
      <x:c r="O190" s="13" t="n">
        <x:f t="shared" si="12"/>
        <x:v>79.9999872</x:v>
      </x:c>
      <x:c r="P190" s="13" t="n">
        <x:f t="shared" si="13"/>
        <x:v>0</x:v>
      </x:c>
      <x:c r="Q190" t="str">
        <x:f t="shared" si="14"/>
        <x:v>OK</x:v>
      </x:c>
    </x:row>
    <x:row r="191">
      <x:c r="A191" s="12" t="n">
        <x:v>46219</x:v>
      </x:c>
      <x:c r="B191" t="str">
        <x:v>Trapus šakotis</x:v>
      </x:c>
      <x:c r="C191" t="str">
        <x:v>L296</x:v>
      </x:c>
      <x:c r="D191" t="str">
        <x:v>Cukrus</x:v>
      </x:c>
      <x:c r="E191" s="13" t="n">
        <x:v>47.999992320000004</x:v>
      </x:c>
      <x:c r="F191" t="str">
        <x:v>Cuk0701</x:v>
      </x:c>
      <x:c r="G191" s="12" t="n">
        <x:v>46388</x:v>
      </x:c>
      <x:c r="H191" s="13" t="n">
        <x:v>47.999992320000004</x:v>
      </x:c>
      <x:c r="I191"/>
      <x:c r="J191" s="12"/>
      <x:c r="K191" s="13"/>
      <x:c r="L191"/>
      <x:c r="M191" s="12"/>
      <x:c r="N191" s="13"/>
      <x:c r="O191" s="13" t="n">
        <x:f t="shared" si="12"/>
        <x:v>47.999992320000004</x:v>
      </x:c>
      <x:c r="P191" s="13" t="n">
        <x:f t="shared" si="13"/>
        <x:v>0</x:v>
      </x:c>
      <x:c r="Q191" t="str">
        <x:f t="shared" si="14"/>
        <x:v>OK</x:v>
      </x:c>
    </x:row>
    <x:row r="192">
      <x:c r="A192" s="12" t="n">
        <x:v>46219</x:v>
      </x:c>
      <x:c r="B192" t="str">
        <x:v>Trapus šakotis</x:v>
      </x:c>
      <x:c r="C192" t="str">
        <x:v>L296</x:v>
      </x:c>
      <x:c r="D192" t="str">
        <x:v>Margarinas trapiam "IEVA"</x:v>
      </x:c>
      <x:c r="E192" s="13" t="n">
        <x:v>56.639923200000005</x:v>
      </x:c>
      <x:c r="F192" t="str">
        <x:v>MarI0630</x:v>
      </x:c>
      <x:c r="G192" s="12" t="n">
        <x:v>46336</x:v>
      </x:c>
      <x:c r="H192" s="13" t="n">
        <x:v>56.639923200000005</x:v>
      </x:c>
      <x:c r="I192"/>
      <x:c r="J192" s="12"/>
      <x:c r="K192" s="13"/>
      <x:c r="L192"/>
      <x:c r="M192" s="12"/>
      <x:c r="N192" s="13"/>
      <x:c r="O192" s="13" t="n">
        <x:f t="shared" si="12"/>
        <x:v>56.639923200000005</x:v>
      </x:c>
      <x:c r="P192" s="13" t="n">
        <x:f t="shared" si="13"/>
        <x:v>0</x:v>
      </x:c>
      <x:c r="Q192" t="str">
        <x:f t="shared" si="14"/>
        <x:v>OK</x:v>
      </x:c>
    </x:row>
    <x:row r="193">
      <x:c r="A193" s="12" t="n">
        <x:v>46219</x:v>
      </x:c>
      <x:c r="B193" t="str">
        <x:v>Trapus šakotis</x:v>
      </x:c>
      <x:c r="C193" t="str">
        <x:v>L296</x:v>
      </x:c>
      <x:c r="D193"/>
      <x:c r="E193" s="13"/>
      <x:c r="F193"/>
      <x:c r="G193" s="12"/>
      <x:c r="H193" s="13"/>
      <x:c r="I193"/>
      <x:c r="J193" s="12"/>
      <x:c r="K193" s="13"/>
      <x:c r="L193"/>
      <x:c r="M193" s="12"/>
      <x:c r="N193" s="13"/>
      <x:c r="O193" s="13">
        <x:f t="shared" si="12"/>
      </x:c>
      <x:c r="P193" s="13">
        <x:f t="shared" si="13"/>
      </x:c>
      <x:c r="Q193">
        <x:f t="shared" si="14"/>
      </x:c>
    </x:row>
    <x:row r="194">
      <x:c r="A194" s="12" t="n">
        <x:v>46219</x:v>
      </x:c>
      <x:c r="B194" t="str">
        <x:v>Trapus šakotis</x:v>
      </x:c>
      <x:c r="C194" t="str">
        <x:v>L296</x:v>
      </x:c>
      <x:c r="D194"/>
      <x:c r="E194" s="13"/>
      <x:c r="F194"/>
      <x:c r="G194" s="12"/>
      <x:c r="H194" s="13"/>
      <x:c r="I194"/>
      <x:c r="J194" s="12"/>
      <x:c r="K194" s="13"/>
      <x:c r="L194"/>
      <x:c r="M194" s="12"/>
      <x:c r="N194" s="13"/>
      <x:c r="O194" s="13">
        <x:f t="shared" si="12"/>
      </x:c>
      <x:c r="P194" s="13">
        <x:f t="shared" si="13"/>
      </x:c>
      <x:c r="Q194">
        <x:f t="shared" si="14"/>
      </x:c>
    </x:row>
    <x:row r="195">
      <x:c r="A195" s="12" t="n">
        <x:v>46219</x:v>
      </x:c>
      <x:c r="B195" t="str">
        <x:v>Trapus šakotis</x:v>
      </x:c>
      <x:c r="C195" t="str">
        <x:v>L296</x:v>
      </x:c>
      <x:c r="D195"/>
      <x:c r="E195" s="13"/>
      <x:c r="F195"/>
      <x:c r="G195" s="12"/>
      <x:c r="H195" s="13"/>
      <x:c r="I195"/>
      <x:c r="J195" s="12"/>
      <x:c r="K195" s="13"/>
      <x:c r="L195"/>
      <x:c r="M195" s="12"/>
      <x:c r="N195" s="13"/>
      <x:c r="O195" s="13">
        <x:f t="shared" si="12"/>
      </x:c>
      <x:c r="P195" s="13">
        <x:f t="shared" si="13"/>
      </x:c>
      <x:c r="Q195">
        <x:f t="shared" si="14"/>
      </x:c>
    </x:row>
    <x:row r="196">
      <x:c r="A196" s="12" t="n">
        <x:v>46219</x:v>
      </x:c>
      <x:c r="B196" t="str">
        <x:v>Šakotis su sviestu</x:v>
      </x:c>
      <x:c r="C196" t="str">
        <x:v>L296</x:v>
      </x:c>
      <x:c r="D196" t="str">
        <x:v>Miltai</x:v>
      </x:c>
      <x:c r="E196" s="13" t="n">
        <x:v>33.99999456</x:v>
      </x:c>
      <x:c r="F196" t="str">
        <x:v>Mil0630</x:v>
      </x:c>
      <x:c r="G196" s="12" t="n">
        <x:v>46419</x:v>
      </x:c>
      <x:c r="H196" s="13" t="n">
        <x:v>33.99999456</x:v>
      </x:c>
      <x:c r="I196"/>
      <x:c r="J196" s="12"/>
      <x:c r="K196" s="13"/>
      <x:c r="L196"/>
      <x:c r="M196" s="12"/>
      <x:c r="N196" s="13"/>
      <x:c r="O196" s="13" t="n">
        <x:f t="shared" ref="O196:O229" si="15">IF($D196="","",SUM($H196,$K196,$N196))</x:f>
        <x:v>33.99999456</x:v>
      </x:c>
      <x:c r="P196" s="13" t="n">
        <x:f t="shared" ref="P196:P229" si="16">IF($D196="","",MAX(0,$E196-$O196))</x:f>
        <x:v>0</x:v>
      </x:c>
      <x:c r="Q196" t="str">
        <x:f t="shared" ref="Q196:Q229" si="17">IF($D196="","",IF($E196=0,"TRŪKSTA RECEPTŪROS NORMOS",IF($P196&lt;0.001,"OK","TRŪKSTA / NĖRA GALIOJANČIOS PARTIJOS")))</x:f>
        <x:v>OK</x:v>
      </x:c>
    </x:row>
    <x:row r="197">
      <x:c r="A197" s="12" t="n">
        <x:v>46219</x:v>
      </x:c>
      <x:c r="B197" t="str">
        <x:v>Šakotis su sviestu</x:v>
      </x:c>
      <x:c r="C197" t="str">
        <x:v>L296</x:v>
      </x:c>
      <x:c r="D197" t="str">
        <x:v>Pienas</x:v>
      </x:c>
      <x:c r="E197" s="13" t="n">
        <x:v>12.74999796</x:v>
      </x:c>
      <x:c r="F197" t="str">
        <x:v>P0715</x:v>
      </x:c>
      <x:c r="G197" s="12" t="n">
        <x:v>46224</x:v>
      </x:c>
      <x:c r="H197" s="13" t="n">
        <x:v>12.74999796</x:v>
      </x:c>
      <x:c r="I197"/>
      <x:c r="J197" s="12"/>
      <x:c r="K197" s="13"/>
      <x:c r="L197"/>
      <x:c r="M197" s="12"/>
      <x:c r="N197" s="13"/>
      <x:c r="O197" s="13" t="n">
        <x:f t="shared" si="15"/>
        <x:v>12.74999796</x:v>
      </x:c>
      <x:c r="P197" s="13" t="n">
        <x:f t="shared" si="16"/>
        <x:v>0</x:v>
      </x:c>
      <x:c r="Q197" t="str">
        <x:f t="shared" si="17"/>
        <x:v>OK</x:v>
      </x:c>
    </x:row>
    <x:row r="198">
      <x:c r="A198" s="12" t="n">
        <x:v>46219</x:v>
      </x:c>
      <x:c r="B198" t="str">
        <x:v>Šakotis su sviestu</x:v>
      </x:c>
      <x:c r="C198" t="str">
        <x:v>L296</x:v>
      </x:c>
      <x:c r="D198" t="str">
        <x:v>Kiaušiniai</x:v>
      </x:c>
      <x:c r="E198" s="13" t="n">
        <x:v>46.74995919999999</x:v>
      </x:c>
      <x:c r="F198" t="str">
        <x:v>K0713</x:v>
      </x:c>
      <x:c r="G198" s="12" t="n">
        <x:v>46237</x:v>
      </x:c>
      <x:c r="H198" s="13" t="n">
        <x:v>46.74995919999999</x:v>
      </x:c>
      <x:c r="I198"/>
      <x:c r="J198" s="12"/>
      <x:c r="K198" s="13"/>
      <x:c r="L198"/>
      <x:c r="M198" s="12"/>
      <x:c r="N198" s="13"/>
      <x:c r="O198" s="13" t="n">
        <x:f t="shared" si="15"/>
        <x:v>46.74995919999999</x:v>
      </x:c>
      <x:c r="P198" s="13" t="n">
        <x:f t="shared" si="16"/>
        <x:v>0</x:v>
      </x:c>
      <x:c r="Q198" t="str">
        <x:f t="shared" si="17"/>
        <x:v>OK</x:v>
      </x:c>
    </x:row>
    <x:row r="199">
      <x:c r="A199" s="12" t="n">
        <x:v>46219</x:v>
      </x:c>
      <x:c r="B199" t="str">
        <x:v>Šakotis su sviestu</x:v>
      </x:c>
      <x:c r="C199" t="str">
        <x:v>L296</x:v>
      </x:c>
      <x:c r="D199" t="str">
        <x:v>Cukrus</x:v>
      </x:c>
      <x:c r="E199" s="13" t="n">
        <x:v>25.49999592</x:v>
      </x:c>
      <x:c r="F199" t="str">
        <x:v>Cuk0701</x:v>
      </x:c>
      <x:c r="G199" s="12" t="n">
        <x:v>46388</x:v>
      </x:c>
      <x:c r="H199" s="13" t="n">
        <x:v>25.49999592</x:v>
      </x:c>
      <x:c r="I199"/>
      <x:c r="J199" s="12"/>
      <x:c r="K199" s="13"/>
      <x:c r="L199"/>
      <x:c r="M199" s="12"/>
      <x:c r="N199" s="13"/>
      <x:c r="O199" s="13" t="n">
        <x:f t="shared" si="15"/>
        <x:v>25.49999592</x:v>
      </x:c>
      <x:c r="P199" s="13" t="n">
        <x:f t="shared" si="16"/>
        <x:v>0</x:v>
      </x:c>
      <x:c r="Q199" t="str">
        <x:f t="shared" si="17"/>
        <x:v>OK</x:v>
      </x:c>
    </x:row>
    <x:row r="200">
      <x:c r="A200" s="12" t="n">
        <x:v>46219</x:v>
      </x:c>
      <x:c r="B200" t="str">
        <x:v>Šakotis su sviestu</x:v>
      </x:c>
      <x:c r="C200" t="str">
        <x:v>L296</x:v>
      </x:c>
      <x:c r="D200" t="str">
        <x:v>Sviestas</x:v>
      </x:c>
      <x:c r="E200" s="13" t="n">
        <x:v>25.49999592</x:v>
      </x:c>
      <x:c r="F200" t="str">
        <x:v>Sv0630</x:v>
      </x:c>
      <x:c r="G200" s="12" t="n">
        <x:v>46368</x:v>
      </x:c>
      <x:c r="H200" s="13" t="n">
        <x:v>25.49999592</x:v>
      </x:c>
      <x:c r="I200"/>
      <x:c r="J200" s="12"/>
      <x:c r="K200" s="13"/>
      <x:c r="L200"/>
      <x:c r="M200" s="12"/>
      <x:c r="N200" s="13"/>
      <x:c r="O200" s="13" t="n">
        <x:f t="shared" si="15"/>
        <x:v>25.49999592</x:v>
      </x:c>
      <x:c r="P200" s="13" t="n">
        <x:f t="shared" si="16"/>
        <x:v>0</x:v>
      </x:c>
      <x:c r="Q200" t="str">
        <x:f t="shared" si="17"/>
        <x:v>OK</x:v>
      </x:c>
    </x:row>
    <x:row r="201">
      <x:c r="A201" s="12" t="n">
        <x:v>46219</x:v>
      </x:c>
      <x:c r="B201" t="str">
        <x:v>Šakotis su sviestu</x:v>
      </x:c>
      <x:c r="C201" t="str">
        <x:v>L296</x:v>
      </x:c>
      <x:c r="D201" t="str">
        <x:v>Kvapnioji medžiaga</x:v>
      </x:c>
      <x:c r="E201" s="13" t="n">
        <x:v>0.08499932</x:v>
      </x:c>
      <x:c r="F201" t="str">
        <x:v>Kvp0630</x:v>
      </x:c>
      <x:c r="G201" s="12" t="n">
        <x:v>46388</x:v>
      </x:c>
      <x:c r="H201" s="13" t="n">
        <x:v>0.08499932</x:v>
      </x:c>
      <x:c r="I201"/>
      <x:c r="J201" s="12"/>
      <x:c r="K201" s="13"/>
      <x:c r="L201"/>
      <x:c r="M201" s="12"/>
      <x:c r="N201" s="13"/>
      <x:c r="O201" s="13" t="n">
        <x:f t="shared" si="15"/>
        <x:v>0.08499932</x:v>
      </x:c>
      <x:c r="P201" s="13" t="n">
        <x:f t="shared" si="16"/>
        <x:v>0</x:v>
      </x:c>
      <x:c r="Q201" t="str">
        <x:f t="shared" si="17"/>
        <x:v>OK</x:v>
      </x:c>
    </x:row>
    <x:row r="202">
      <x:c r="A202" s="12" t="n">
        <x:v>46219</x:v>
      </x:c>
      <x:c r="B202" t="str">
        <x:v>Šakotis su sviestu</x:v>
      </x:c>
      <x:c r="C202" t="str">
        <x:v>L296</x:v>
      </x:c>
      <x:c r="D202" t="str">
        <x:v>Ciberžolė</x:v>
      </x:c>
      <x:c r="E202" s="13" t="n">
        <x:v>0.29749762</x:v>
      </x:c>
      <x:c r="F202" t="str">
        <x:v>Cib0630</x:v>
      </x:c>
      <x:c r="G202" s="12" t="n">
        <x:v>46573</x:v>
      </x:c>
      <x:c r="H202" s="13" t="n">
        <x:v>0.29749762</x:v>
      </x:c>
      <x:c r="I202"/>
      <x:c r="J202" s="12"/>
      <x:c r="K202" s="13"/>
      <x:c r="L202"/>
      <x:c r="M202" s="12"/>
      <x:c r="N202" s="13"/>
      <x:c r="O202" s="13" t="n">
        <x:f t="shared" si="15"/>
        <x:v>0.29749762</x:v>
      </x:c>
      <x:c r="P202" s="13" t="n">
        <x:f t="shared" si="16"/>
        <x:v>0</x:v>
      </x:c>
      <x:c r="Q202" t="str">
        <x:f t="shared" si="17"/>
        <x:v>OK</x:v>
      </x:c>
    </x:row>
    <x:row r="203">
      <x:c r="A203" s="12" t="n">
        <x:v>46219</x:v>
      </x:c>
      <x:c r="B203" t="str">
        <x:v>Šakotis su sviestu</x:v>
      </x:c>
      <x:c r="C203" t="str">
        <x:v>L296</x:v>
      </x:c>
      <x:c r="D203" t="str">
        <x:v>Vanduo</x:v>
      </x:c>
      <x:c r="E203" s="13" t="n">
        <x:v>8.499932</x:v>
      </x:c>
      <x:c r="F203" t="str">
        <x:v>Netaikoma</x:v>
      </x:c>
      <x:c r="G203" s="12"/>
      <x:c r="H203" s="13" t="n">
        <x:v>8.499932</x:v>
      </x:c>
      <x:c r="I203"/>
      <x:c r="J203" s="12"/>
      <x:c r="K203" s="13"/>
      <x:c r="L203"/>
      <x:c r="M203" s="12"/>
      <x:c r="N203" s="13"/>
      <x:c r="O203" s="13" t="n">
        <x:f t="shared" si="15"/>
        <x:v>8.499932</x:v>
      </x:c>
      <x:c r="P203" s="13" t="n">
        <x:f t="shared" si="16"/>
        <x:v>0</x:v>
      </x:c>
      <x:c r="Q203" t="str">
        <x:f t="shared" si="17"/>
        <x:v>OK</x:v>
      </x:c>
    </x:row>
    <x:row r="204">
      <x:c r="A204" s="12" t="n">
        <x:v>46220</x:v>
      </x:c>
      <x:c r="B204" t="str">
        <x:v>Šakotis</x:v>
      </x:c>
      <x:c r="C204" t="str">
        <x:v>L296</x:v>
      </x:c>
      <x:c r="D204" t="str">
        <x:v>Miltai</x:v>
      </x:c>
      <x:c r="E204" s="13" t="n">
        <x:v>43.99999296</x:v>
      </x:c>
      <x:c r="F204" t="str">
        <x:v>Mil0630</x:v>
      </x:c>
      <x:c r="G204" s="12" t="n">
        <x:v>46419</x:v>
      </x:c>
      <x:c r="H204" s="13" t="n">
        <x:v>32.90842199999952</x:v>
      </x:c>
      <x:c r="I204" t="str">
        <x:v>Mil0708</x:v>
      </x:c>
      <x:c r="J204" s="12" t="n">
        <x:v>46536</x:v>
      </x:c>
      <x:c r="K204" s="13" t="n">
        <x:v>11.091570960000482</x:v>
      </x:c>
      <x:c r="L204"/>
      <x:c r="M204" s="12"/>
      <x:c r="N204" s="13"/>
      <x:c r="O204" s="13" t="n">
        <x:f t="shared" si="15"/>
        <x:v>43.99999296</x:v>
      </x:c>
      <x:c r="P204" s="13" t="n">
        <x:f t="shared" si="16"/>
        <x:v>0</x:v>
      </x:c>
      <x:c r="Q204" t="str">
        <x:f t="shared" si="17"/>
        <x:v>OK</x:v>
      </x:c>
    </x:row>
    <x:row r="205">
      <x:c r="A205" s="12" t="n">
        <x:v>46220</x:v>
      </x:c>
      <x:c r="B205" t="str">
        <x:v>Šakotis</x:v>
      </x:c>
      <x:c r="C205" t="str">
        <x:v>L296</x:v>
      </x:c>
      <x:c r="D205" t="str">
        <x:v>Pienas</x:v>
      </x:c>
      <x:c r="E205" s="13" t="n">
        <x:v>16.499997360000002</x:v>
      </x:c>
      <x:c r="F205" t="str">
        <x:v>P0715</x:v>
      </x:c>
      <x:c r="G205" s="12" t="n">
        <x:v>46224</x:v>
      </x:c>
      <x:c r="H205" s="13" t="n">
        <x:v>16.499997360000002</x:v>
      </x:c>
      <x:c r="I205"/>
      <x:c r="J205" s="12"/>
      <x:c r="K205" s="13"/>
      <x:c r="L205"/>
      <x:c r="M205" s="12"/>
      <x:c r="N205" s="13"/>
      <x:c r="O205" s="13" t="n">
        <x:f t="shared" si="15"/>
        <x:v>16.499997360000002</x:v>
      </x:c>
      <x:c r="P205" s="13" t="n">
        <x:f t="shared" si="16"/>
        <x:v>0</x:v>
      </x:c>
      <x:c r="Q205" t="str">
        <x:f t="shared" si="17"/>
        <x:v>OK</x:v>
      </x:c>
    </x:row>
    <x:row r="206">
      <x:c r="A206" s="12" t="n">
        <x:v>46220</x:v>
      </x:c>
      <x:c r="B206" t="str">
        <x:v>Šakotis</x:v>
      </x:c>
      <x:c r="C206" t="str">
        <x:v>L296</x:v>
      </x:c>
      <x:c r="D206" t="str">
        <x:v>Kiaušiniai</x:v>
      </x:c>
      <x:c r="E206" s="13" t="n">
        <x:v>60.499947199999994</x:v>
      </x:c>
      <x:c r="F206" t="str">
        <x:v>K0713</x:v>
      </x:c>
      <x:c r="G206" s="12" t="n">
        <x:v>46237</x:v>
      </x:c>
      <x:c r="H206" s="13" t="n">
        <x:v>60.499947199999994</x:v>
      </x:c>
      <x:c r="I206"/>
      <x:c r="J206" s="12"/>
      <x:c r="K206" s="13"/>
      <x:c r="L206"/>
      <x:c r="M206" s="12"/>
      <x:c r="N206" s="13"/>
      <x:c r="O206" s="13" t="n">
        <x:f t="shared" si="15"/>
        <x:v>60.499947199999994</x:v>
      </x:c>
      <x:c r="P206" s="13" t="n">
        <x:f t="shared" si="16"/>
        <x:v>0</x:v>
      </x:c>
      <x:c r="Q206" t="str">
        <x:f t="shared" si="17"/>
        <x:v>OK</x:v>
      </x:c>
    </x:row>
    <x:row r="207">
      <x:c r="A207" s="12" t="n">
        <x:v>46220</x:v>
      </x:c>
      <x:c r="B207" t="str">
        <x:v>Šakotis</x:v>
      </x:c>
      <x:c r="C207" t="str">
        <x:v>L296</x:v>
      </x:c>
      <x:c r="D207" t="str">
        <x:v>Cukrus</x:v>
      </x:c>
      <x:c r="E207" s="13" t="n">
        <x:v>32.999994720000004</x:v>
      </x:c>
      <x:c r="F207" t="str">
        <x:v>Cuk0701</x:v>
      </x:c>
      <x:c r="G207" s="12" t="n">
        <x:v>46388</x:v>
      </x:c>
      <x:c r="H207" s="13" t="n">
        <x:v>32.999994720000004</x:v>
      </x:c>
      <x:c r="I207"/>
      <x:c r="J207" s="12"/>
      <x:c r="K207" s="13"/>
      <x:c r="L207"/>
      <x:c r="M207" s="12"/>
      <x:c r="N207" s="13"/>
      <x:c r="O207" s="13" t="n">
        <x:f t="shared" si="15"/>
        <x:v>32.999994720000004</x:v>
      </x:c>
      <x:c r="P207" s="13" t="n">
        <x:f t="shared" si="16"/>
        <x:v>0</x:v>
      </x:c>
      <x:c r="Q207" t="str">
        <x:f t="shared" si="17"/>
        <x:v>OK</x:v>
      </x:c>
    </x:row>
    <x:row r="208">
      <x:c r="A208" s="12" t="n">
        <x:v>46220</x:v>
      </x:c>
      <x:c r="B208" t="str">
        <x:v>Šakotis</x:v>
      </x:c>
      <x:c r="C208" t="str">
        <x:v>L296</x:v>
      </x:c>
      <x:c r="D208" t="str">
        <x:v>Margarinas Šakočiui "Alvas"</x:v>
      </x:c>
      <x:c r="E208" s="13" t="n">
        <x:v>32.999994720000004</x:v>
      </x:c>
      <x:c r="F208" t="str">
        <x:v>MarA0630</x:v>
      </x:c>
      <x:c r="G208" s="12" t="n">
        <x:v>46306</x:v>
      </x:c>
      <x:c r="H208" s="13" t="n">
        <x:v>32.999994720000004</x:v>
      </x:c>
      <x:c r="I208"/>
      <x:c r="J208" s="12"/>
      <x:c r="K208" s="13"/>
      <x:c r="L208"/>
      <x:c r="M208" s="12"/>
      <x:c r="N208" s="13"/>
      <x:c r="O208" s="13" t="n">
        <x:f t="shared" si="15"/>
        <x:v>32.999994720000004</x:v>
      </x:c>
      <x:c r="P208" s="13" t="n">
        <x:f t="shared" si="16"/>
        <x:v>0</x:v>
      </x:c>
      <x:c r="Q208" t="str">
        <x:f t="shared" si="17"/>
        <x:v>OK</x:v>
      </x:c>
    </x:row>
    <x:row r="209">
      <x:c r="A209" s="12" t="n">
        <x:v>46220</x:v>
      </x:c>
      <x:c r="B209" t="str">
        <x:v>Šakotis</x:v>
      </x:c>
      <x:c r="C209" t="str">
        <x:v>L296</x:v>
      </x:c>
      <x:c r="D209" t="str">
        <x:v>Kvapnioji medžiaga</x:v>
      </x:c>
      <x:c r="E209" s="13" t="n">
        <x:v>0.10999912</x:v>
      </x:c>
      <x:c r="F209" t="str">
        <x:v>Kvp0630</x:v>
      </x:c>
      <x:c r="G209" s="12" t="n">
        <x:v>46388</x:v>
      </x:c>
      <x:c r="H209" s="13" t="n">
        <x:v>0.10999912</x:v>
      </x:c>
      <x:c r="I209"/>
      <x:c r="J209" s="12"/>
      <x:c r="K209" s="13"/>
      <x:c r="L209"/>
      <x:c r="M209" s="12"/>
      <x:c r="N209" s="13"/>
      <x:c r="O209" s="13" t="n">
        <x:f t="shared" si="15"/>
        <x:v>0.10999912</x:v>
      </x:c>
      <x:c r="P209" s="13" t="n">
        <x:f t="shared" si="16"/>
        <x:v>0</x:v>
      </x:c>
      <x:c r="Q209" t="str">
        <x:f t="shared" si="17"/>
        <x:v>OK</x:v>
      </x:c>
    </x:row>
    <x:row r="210">
      <x:c r="A210" s="12" t="n">
        <x:v>46220</x:v>
      </x:c>
      <x:c r="B210" t="str">
        <x:v>Šakotis</x:v>
      </x:c>
      <x:c r="C210" t="str">
        <x:v>L296</x:v>
      </x:c>
      <x:c r="D210" t="str">
        <x:v>Ciberžolė</x:v>
      </x:c>
      <x:c r="E210" s="13" t="n">
        <x:v>0.38499692</x:v>
      </x:c>
      <x:c r="F210" t="str">
        <x:v>Cib0630</x:v>
      </x:c>
      <x:c r="G210" s="12" t="n">
        <x:v>46573</x:v>
      </x:c>
      <x:c r="H210" s="13" t="n">
        <x:v>0.38499692</x:v>
      </x:c>
      <x:c r="I210"/>
      <x:c r="J210" s="12"/>
      <x:c r="K210" s="13"/>
      <x:c r="L210"/>
      <x:c r="M210" s="12"/>
      <x:c r="N210" s="13"/>
      <x:c r="O210" s="13" t="n">
        <x:f t="shared" si="15"/>
        <x:v>0.38499692</x:v>
      </x:c>
      <x:c r="P210" s="13" t="n">
        <x:f t="shared" si="16"/>
        <x:v>0</x:v>
      </x:c>
      <x:c r="Q210" t="str">
        <x:f t="shared" si="17"/>
        <x:v>OK</x:v>
      </x:c>
    </x:row>
    <x:row r="211">
      <x:c r="A211" s="12" t="n">
        <x:v>46220</x:v>
      </x:c>
      <x:c r="B211" t="str">
        <x:v>Šakotis</x:v>
      </x:c>
      <x:c r="C211" t="str">
        <x:v>L296</x:v>
      </x:c>
      <x:c r="D211" t="str">
        <x:v>Vanduo</x:v>
      </x:c>
      <x:c r="E211" s="13" t="n">
        <x:v>5.4989858</x:v>
      </x:c>
      <x:c r="F211" t="str">
        <x:v>Netaikoma</x:v>
      </x:c>
      <x:c r="G211" s="12"/>
      <x:c r="H211" s="13" t="n">
        <x:v>5.4989858</x:v>
      </x:c>
      <x:c r="I211"/>
      <x:c r="J211" s="12"/>
      <x:c r="K211" s="13"/>
      <x:c r="L211"/>
      <x:c r="M211" s="12"/>
      <x:c r="N211" s="13"/>
      <x:c r="O211" s="13" t="n">
        <x:f t="shared" si="15"/>
        <x:v>5.4989858</x:v>
      </x:c>
      <x:c r="P211" s="13" t="n">
        <x:f t="shared" si="16"/>
        <x:v>0</x:v>
      </x:c>
      <x:c r="Q211" t="str">
        <x:f t="shared" si="17"/>
        <x:v>OK</x:v>
      </x:c>
    </x:row>
    <x:row r="212">
      <x:c r="A212" s="12" t="n">
        <x:v>46220</x:v>
      </x:c>
      <x:c r="B212" t="str">
        <x:v>Trapus šakotis</x:v>
      </x:c>
      <x:c r="C212" t="str">
        <x:v>L296</x:v>
      </x:c>
      <x:c r="D212" t="str">
        <x:v>Miltai</x:v>
      </x:c>
      <x:c r="E212" s="13" t="n">
        <x:v>79.9999872</x:v>
      </x:c>
      <x:c r="F212" t="str">
        <x:v>Mil0708</x:v>
      </x:c>
      <x:c r="G212" s="12" t="n">
        <x:v>46536</x:v>
      </x:c>
      <x:c r="H212" s="13" t="n">
        <x:v>79.9999872</x:v>
      </x:c>
      <x:c r="I212"/>
      <x:c r="J212" s="12"/>
      <x:c r="K212" s="13"/>
      <x:c r="L212"/>
      <x:c r="M212" s="12"/>
      <x:c r="N212" s="13"/>
      <x:c r="O212" s="13" t="n">
        <x:f t="shared" si="15"/>
        <x:v>79.9999872</x:v>
      </x:c>
      <x:c r="P212" s="13" t="n">
        <x:f t="shared" si="16"/>
        <x:v>0</x:v>
      </x:c>
      <x:c r="Q212" t="str">
        <x:f t="shared" si="17"/>
        <x:v>OK</x:v>
      </x:c>
    </x:row>
    <x:row r="213">
      <x:c r="A213" s="12" t="n">
        <x:v>46220</x:v>
      </x:c>
      <x:c r="B213" t="str">
        <x:v>Trapus šakotis</x:v>
      </x:c>
      <x:c r="C213" t="str">
        <x:v>L296</x:v>
      </x:c>
      <x:c r="D213" t="str">
        <x:v>Grietinės mišinys</x:v>
      </x:c>
      <x:c r="E213" s="13" t="n">
        <x:v>57.59999392</x:v>
      </x:c>
      <x:c r="F213" t="str">
        <x:v>Gr0715</x:v>
      </x:c>
      <x:c r="G213" s="12" t="n">
        <x:v>46227</x:v>
      </x:c>
      <x:c r="H213" s="13" t="n">
        <x:v>57.59999392</x:v>
      </x:c>
      <x:c r="I213"/>
      <x:c r="J213" s="12"/>
      <x:c r="K213" s="13"/>
      <x:c r="L213"/>
      <x:c r="M213" s="12"/>
      <x:c r="N213" s="13"/>
      <x:c r="O213" s="13" t="n">
        <x:f t="shared" si="15"/>
        <x:v>57.59999392</x:v>
      </x:c>
      <x:c r="P213" s="13" t="n">
        <x:f t="shared" si="16"/>
        <x:v>0</x:v>
      </x:c>
      <x:c r="Q213" t="str">
        <x:f t="shared" si="17"/>
        <x:v>OK</x:v>
      </x:c>
    </x:row>
    <x:row r="214">
      <x:c r="A214" s="12" t="n">
        <x:v>46220</x:v>
      </x:c>
      <x:c r="B214" t="str">
        <x:v>Trapus šakotis</x:v>
      </x:c>
      <x:c r="C214" t="str">
        <x:v>L296</x:v>
      </x:c>
      <x:c r="D214" t="str">
        <x:v>Kiaušiniai</x:v>
      </x:c>
      <x:c r="E214" s="13" t="n">
        <x:v>79.9999872</x:v>
      </x:c>
      <x:c r="F214" t="str">
        <x:v>K0713</x:v>
      </x:c>
      <x:c r="G214" s="12" t="n">
        <x:v>46237</x:v>
      </x:c>
      <x:c r="H214" s="13" t="n">
        <x:v>79.9999872</x:v>
      </x:c>
      <x:c r="I214"/>
      <x:c r="J214" s="12"/>
      <x:c r="K214" s="13"/>
      <x:c r="L214"/>
      <x:c r="M214" s="12"/>
      <x:c r="N214" s="13"/>
      <x:c r="O214" s="13" t="n">
        <x:f t="shared" si="15"/>
        <x:v>79.9999872</x:v>
      </x:c>
      <x:c r="P214" s="13" t="n">
        <x:f t="shared" si="16"/>
        <x:v>0</x:v>
      </x:c>
      <x:c r="Q214" t="str">
        <x:f t="shared" si="17"/>
        <x:v>OK</x:v>
      </x:c>
    </x:row>
    <x:row r="215">
      <x:c r="A215" s="12" t="n">
        <x:v>46220</x:v>
      </x:c>
      <x:c r="B215" t="str">
        <x:v>Trapus šakotis</x:v>
      </x:c>
      <x:c r="C215" t="str">
        <x:v>L296</x:v>
      </x:c>
      <x:c r="D215" t="str">
        <x:v>Cukrus</x:v>
      </x:c>
      <x:c r="E215" s="13" t="n">
        <x:v>47.999992320000004</x:v>
      </x:c>
      <x:c r="F215" t="str">
        <x:v>Cuk0701</x:v>
      </x:c>
      <x:c r="G215" s="12" t="n">
        <x:v>46388</x:v>
      </x:c>
      <x:c r="H215" s="13" t="n">
        <x:v>47.999992320000004</x:v>
      </x:c>
      <x:c r="I215"/>
      <x:c r="J215" s="12"/>
      <x:c r="K215" s="13"/>
      <x:c r="L215"/>
      <x:c r="M215" s="12"/>
      <x:c r="N215" s="13"/>
      <x:c r="O215" s="13" t="n">
        <x:f t="shared" si="15"/>
        <x:v>47.999992320000004</x:v>
      </x:c>
      <x:c r="P215" s="13" t="n">
        <x:f t="shared" si="16"/>
        <x:v>0</x:v>
      </x:c>
      <x:c r="Q215" t="str">
        <x:f t="shared" si="17"/>
        <x:v>OK</x:v>
      </x:c>
    </x:row>
    <x:row r="216">
      <x:c r="A216" s="12" t="n">
        <x:v>46220</x:v>
      </x:c>
      <x:c r="B216" t="str">
        <x:v>Trapus šakotis</x:v>
      </x:c>
      <x:c r="C216" t="str">
        <x:v>L296</x:v>
      </x:c>
      <x:c r="D216" t="str">
        <x:v>Margarinas trapiam "IEVA"</x:v>
      </x:c>
      <x:c r="E216" s="13" t="n">
        <x:v>56.639923200000005</x:v>
      </x:c>
      <x:c r="F216" t="str">
        <x:v>MarI0630</x:v>
      </x:c>
      <x:c r="G216" s="12" t="n">
        <x:v>46336</x:v>
      </x:c>
      <x:c r="H216" s="13" t="n">
        <x:v>56.639923200000005</x:v>
      </x:c>
      <x:c r="I216"/>
      <x:c r="J216" s="12"/>
      <x:c r="K216" s="13"/>
      <x:c r="L216"/>
      <x:c r="M216" s="12"/>
      <x:c r="N216" s="13"/>
      <x:c r="O216" s="13" t="n">
        <x:f t="shared" si="15"/>
        <x:v>56.639923200000005</x:v>
      </x:c>
      <x:c r="P216" s="13" t="n">
        <x:f t="shared" si="16"/>
        <x:v>0</x:v>
      </x:c>
      <x:c r="Q216" t="str">
        <x:f t="shared" si="17"/>
        <x:v>OK</x:v>
      </x:c>
    </x:row>
    <x:row r="217">
      <x:c r="A217" s="12" t="n">
        <x:v>46220</x:v>
      </x:c>
      <x:c r="B217" t="str">
        <x:v>Trapus šakotis</x:v>
      </x:c>
      <x:c r="C217" t="str">
        <x:v>L296</x:v>
      </x:c>
      <x:c r="D217"/>
      <x:c r="E217" s="13"/>
      <x:c r="F217"/>
      <x:c r="G217" s="12"/>
      <x:c r="H217" s="13"/>
      <x:c r="I217"/>
      <x:c r="J217" s="12"/>
      <x:c r="K217" s="13"/>
      <x:c r="L217"/>
      <x:c r="M217" s="12"/>
      <x:c r="N217" s="13"/>
      <x:c r="O217" s="13">
        <x:f t="shared" si="15"/>
      </x:c>
      <x:c r="P217" s="13">
        <x:f t="shared" si="16"/>
      </x:c>
      <x:c r="Q217">
        <x:f t="shared" si="17"/>
      </x:c>
    </x:row>
    <x:row r="218">
      <x:c r="A218" s="12" t="n">
        <x:v>46220</x:v>
      </x:c>
      <x:c r="B218" t="str">
        <x:v>Trapus šakotis</x:v>
      </x:c>
      <x:c r="C218" t="str">
        <x:v>L296</x:v>
      </x:c>
      <x:c r="D218"/>
      <x:c r="E218" s="13"/>
      <x:c r="F218"/>
      <x:c r="G218" s="12"/>
      <x:c r="H218" s="13"/>
      <x:c r="I218"/>
      <x:c r="J218" s="12"/>
      <x:c r="K218" s="13"/>
      <x:c r="L218"/>
      <x:c r="M218" s="12"/>
      <x:c r="N218" s="13"/>
      <x:c r="O218" s="13">
        <x:f t="shared" si="15"/>
      </x:c>
      <x:c r="P218" s="13">
        <x:f t="shared" si="16"/>
      </x:c>
      <x:c r="Q218">
        <x:f t="shared" si="17"/>
      </x:c>
    </x:row>
    <x:row r="219">
      <x:c r="A219" s="12" t="n">
        <x:v>46220</x:v>
      </x:c>
      <x:c r="B219" t="str">
        <x:v>Trapus šakotis</x:v>
      </x:c>
      <x:c r="C219" t="str">
        <x:v>L296</x:v>
      </x:c>
      <x:c r="D219"/>
      <x:c r="E219" s="13"/>
      <x:c r="F219"/>
      <x:c r="G219" s="12"/>
      <x:c r="H219" s="13"/>
      <x:c r="I219"/>
      <x:c r="J219" s="12"/>
      <x:c r="K219" s="13"/>
      <x:c r="L219"/>
      <x:c r="M219" s="12"/>
      <x:c r="N219" s="13"/>
      <x:c r="O219" s="13">
        <x:f t="shared" si="15"/>
      </x:c>
      <x:c r="P219" s="13">
        <x:f t="shared" si="16"/>
      </x:c>
      <x:c r="Q219">
        <x:f t="shared" si="17"/>
      </x:c>
    </x:row>
    <x:row r="220">
      <x:c r="A220" s="12" t="n">
        <x:v>46221</x:v>
      </x:c>
      <x:c r="B220" t="str">
        <x:v>Trapus šakotis</x:v>
      </x:c>
      <x:c r="C220" t="str">
        <x:v>L296</x:v>
      </x:c>
      <x:c r="D220" t="str">
        <x:v>Miltai</x:v>
      </x:c>
      <x:c r="E220" s="13" t="n">
        <x:v>44.9999928</x:v>
      </x:c>
      <x:c r="F220" t="str">
        <x:v>Mil0708</x:v>
      </x:c>
      <x:c r="G220" s="12" t="n">
        <x:v>46536</x:v>
      </x:c>
      <x:c r="H220" s="13" t="n">
        <x:v>44.9999928</x:v>
      </x:c>
      <x:c r="I220"/>
      <x:c r="J220" s="12"/>
      <x:c r="K220" s="13"/>
      <x:c r="L220"/>
      <x:c r="M220" s="12"/>
      <x:c r="N220" s="13"/>
      <x:c r="O220" s="13" t="n">
        <x:f t="shared" si="15"/>
        <x:v>44.9999928</x:v>
      </x:c>
      <x:c r="P220" s="13" t="n">
        <x:f t="shared" si="16"/>
        <x:v>0</x:v>
      </x:c>
      <x:c r="Q220" t="str">
        <x:f t="shared" si="17"/>
        <x:v>OK</x:v>
      </x:c>
    </x:row>
    <x:row r="221">
      <x:c r="A221" s="12" t="n">
        <x:v>46221</x:v>
      </x:c>
      <x:c r="B221" t="str">
        <x:v>Trapus šakotis</x:v>
      </x:c>
      <x:c r="C221" t="str">
        <x:v>L296</x:v>
      </x:c>
      <x:c r="D221" t="str">
        <x:v>Grietinės mišinys</x:v>
      </x:c>
      <x:c r="E221" s="13" t="n">
        <x:v>32.39999658</x:v>
      </x:c>
      <x:c r="F221" t="str">
        <x:v>Gr0715</x:v>
      </x:c>
      <x:c r="G221" s="12" t="n">
        <x:v>46227</x:v>
      </x:c>
      <x:c r="H221" s="13" t="n">
        <x:v>16.20004578999999</x:v>
      </x:c>
      <x:c r="I221" t="str">
        <x:v>Gr0717</x:v>
      </x:c>
      <x:c r="J221" s="12" t="n">
        <x:v>46226</x:v>
      </x:c>
      <x:c r="K221" s="13" t="n">
        <x:v>16.19995079000001</x:v>
      </x:c>
      <x:c r="L221"/>
      <x:c r="M221" s="12"/>
      <x:c r="N221" s="13"/>
      <x:c r="O221" s="13" t="n">
        <x:f t="shared" si="15"/>
        <x:v>32.39999658</x:v>
      </x:c>
      <x:c r="P221" s="13" t="n">
        <x:f t="shared" si="16"/>
        <x:v>0</x:v>
      </x:c>
      <x:c r="Q221" t="str">
        <x:f t="shared" si="17"/>
        <x:v>OK</x:v>
      </x:c>
    </x:row>
    <x:row r="222">
      <x:c r="A222" s="12" t="n">
        <x:v>46221</x:v>
      </x:c>
      <x:c r="B222" t="str">
        <x:v>Trapus šakotis</x:v>
      </x:c>
      <x:c r="C222" t="str">
        <x:v>L296</x:v>
      </x:c>
      <x:c r="D222" t="str">
        <x:v>Kiaušiniai</x:v>
      </x:c>
      <x:c r="E222" s="13" t="n">
        <x:v>44.9999928</x:v>
      </x:c>
      <x:c r="F222" t="str">
        <x:v>K0713</x:v>
      </x:c>
      <x:c r="G222" s="12" t="n">
        <x:v>46237</x:v>
      </x:c>
      <x:c r="H222" s="13" t="n">
        <x:v>44.9999928</x:v>
      </x:c>
      <x:c r="I222"/>
      <x:c r="J222" s="12"/>
      <x:c r="K222" s="13"/>
      <x:c r="L222"/>
      <x:c r="M222" s="12"/>
      <x:c r="N222" s="13"/>
      <x:c r="O222" s="13" t="n">
        <x:f t="shared" si="15"/>
        <x:v>44.9999928</x:v>
      </x:c>
      <x:c r="P222" s="13" t="n">
        <x:f t="shared" si="16"/>
        <x:v>0</x:v>
      </x:c>
      <x:c r="Q222" t="str">
        <x:f t="shared" si="17"/>
        <x:v>OK</x:v>
      </x:c>
    </x:row>
    <x:row r="223">
      <x:c r="A223" s="12" t="n">
        <x:v>46221</x:v>
      </x:c>
      <x:c r="B223" t="str">
        <x:v>Trapus šakotis</x:v>
      </x:c>
      <x:c r="C223" t="str">
        <x:v>L296</x:v>
      </x:c>
      <x:c r="D223" t="str">
        <x:v>Cukrus</x:v>
      </x:c>
      <x:c r="E223" s="13" t="n">
        <x:v>26.99999568</x:v>
      </x:c>
      <x:c r="F223" t="str">
        <x:v>Cuk0701</x:v>
      </x:c>
      <x:c r="G223" s="12" t="n">
        <x:v>46388</x:v>
      </x:c>
      <x:c r="H223" s="13" t="n">
        <x:v>26.99999568</x:v>
      </x:c>
      <x:c r="I223"/>
      <x:c r="J223" s="12"/>
      <x:c r="K223" s="13"/>
      <x:c r="L223"/>
      <x:c r="M223" s="12"/>
      <x:c r="N223" s="13"/>
      <x:c r="O223" s="13" t="n">
        <x:f t="shared" si="15"/>
        <x:v>26.99999568</x:v>
      </x:c>
      <x:c r="P223" s="13" t="n">
        <x:f t="shared" si="16"/>
        <x:v>0</x:v>
      </x:c>
      <x:c r="Q223" t="str">
        <x:f t="shared" si="17"/>
        <x:v>OK</x:v>
      </x:c>
    </x:row>
    <x:row r="224">
      <x:c r="A224" s="12" t="n">
        <x:v>46221</x:v>
      </x:c>
      <x:c r="B224" t="str">
        <x:v>Trapus šakotis</x:v>
      </x:c>
      <x:c r="C224" t="str">
        <x:v>L296</x:v>
      </x:c>
      <x:c r="D224" t="str">
        <x:v>Margarinas trapiam "IEVA"</x:v>
      </x:c>
      <x:c r="E224" s="13" t="n">
        <x:v>31.8599568</x:v>
      </x:c>
      <x:c r="F224" t="str">
        <x:v>MarI0630</x:v>
      </x:c>
      <x:c r="G224" s="12" t="n">
        <x:v>46336</x:v>
      </x:c>
      <x:c r="H224" s="13" t="n">
        <x:v>31.8599568</x:v>
      </x:c>
      <x:c r="I224"/>
      <x:c r="J224" s="12"/>
      <x:c r="K224" s="13"/>
      <x:c r="L224"/>
      <x:c r="M224" s="12"/>
      <x:c r="N224" s="13"/>
      <x:c r="O224" s="13" t="n">
        <x:f t="shared" si="15"/>
        <x:v>31.8599568</x:v>
      </x:c>
      <x:c r="P224" s="13" t="n">
        <x:f t="shared" si="16"/>
        <x:v>0</x:v>
      </x:c>
      <x:c r="Q224" t="str">
        <x:f t="shared" si="17"/>
        <x:v>OK</x:v>
      </x:c>
    </x:row>
    <x:row r="225">
      <x:c r="A225" s="12" t="n">
        <x:v>46221</x:v>
      </x:c>
      <x:c r="B225" t="str">
        <x:v>Trapus šakotis</x:v>
      </x:c>
      <x:c r="C225" t="str">
        <x:v>L296</x:v>
      </x:c>
      <x:c r="D225"/>
      <x:c r="E225" s="13"/>
      <x:c r="F225"/>
      <x:c r="G225" s="12"/>
      <x:c r="H225" s="13"/>
      <x:c r="I225"/>
      <x:c r="J225" s="12"/>
      <x:c r="K225" s="13"/>
      <x:c r="L225"/>
      <x:c r="M225" s="12"/>
      <x:c r="N225" s="13"/>
      <x:c r="O225" s="13">
        <x:f t="shared" si="15"/>
      </x:c>
      <x:c r="P225" s="13">
        <x:f t="shared" si="16"/>
      </x:c>
      <x:c r="Q225">
        <x:f t="shared" si="17"/>
      </x:c>
    </x:row>
    <x:row r="226">
      <x:c r="A226" s="12" t="n">
        <x:v>46221</x:v>
      </x:c>
      <x:c r="B226" t="str">
        <x:v>Trapus šakotis</x:v>
      </x:c>
      <x:c r="C226" t="str">
        <x:v>L296</x:v>
      </x:c>
      <x:c r="D226"/>
      <x:c r="E226" s="13"/>
      <x:c r="F226"/>
      <x:c r="G226" s="12"/>
      <x:c r="H226" s="13"/>
      <x:c r="I226"/>
      <x:c r="J226" s="12"/>
      <x:c r="K226" s="13"/>
      <x:c r="L226"/>
      <x:c r="M226" s="12"/>
      <x:c r="N226" s="13"/>
      <x:c r="O226" s="13">
        <x:f t="shared" si="15"/>
      </x:c>
      <x:c r="P226" s="13">
        <x:f t="shared" si="16"/>
      </x:c>
      <x:c r="Q226">
        <x:f t="shared" si="17"/>
      </x:c>
    </x:row>
    <x:row r="227">
      <x:c r="A227" s="12" t="n">
        <x:v>46221</x:v>
      </x:c>
      <x:c r="B227" t="str">
        <x:v>Trapus šakotis</x:v>
      </x:c>
      <x:c r="C227" t="str">
        <x:v>L296</x:v>
      </x:c>
      <x:c r="D227"/>
      <x:c r="E227" s="13"/>
      <x:c r="F227"/>
      <x:c r="G227" s="12"/>
      <x:c r="H227" s="13"/>
      <x:c r="I227"/>
      <x:c r="J227" s="12"/>
      <x:c r="K227" s="13"/>
      <x:c r="L227"/>
      <x:c r="M227" s="12"/>
      <x:c r="N227" s="13"/>
      <x:c r="O227" s="13">
        <x:f t="shared" si="15"/>
      </x:c>
      <x:c r="P227" s="13">
        <x:f t="shared" si="16"/>
      </x:c>
      <x:c r="Q227">
        <x:f t="shared" si="17"/>
      </x:c>
    </x:row>
    <x:row r="228">
      <x:c r="A228" s="12" t="n">
        <x:v>46222</x:v>
      </x:c>
      <x:c r="B228" t="str">
        <x:v>Trapus šakotis</x:v>
      </x:c>
      <x:c r="C228" t="str">
        <x:v>L296</x:v>
      </x:c>
      <x:c r="D228" t="str">
        <x:v>Miltai</x:v>
      </x:c>
      <x:c r="E228" s="13" t="n">
        <x:v>59.999990399999994</x:v>
      </x:c>
      <x:c r="F228" t="str">
        <x:v>Mil0708</x:v>
      </x:c>
      <x:c r="G228" s="12" t="n">
        <x:v>46536</x:v>
      </x:c>
      <x:c r="H228" s="13" t="n">
        <x:v>59.999990399999994</x:v>
      </x:c>
      <x:c r="I228"/>
      <x:c r="J228" s="12"/>
      <x:c r="K228" s="13"/>
      <x:c r="L228"/>
      <x:c r="M228" s="12"/>
      <x:c r="N228" s="13"/>
      <x:c r="O228" s="13" t="n">
        <x:f t="shared" si="15"/>
        <x:v>59.999990399999994</x:v>
      </x:c>
      <x:c r="P228" s="13" t="n">
        <x:f t="shared" si="16"/>
        <x:v>0</x:v>
      </x:c>
      <x:c r="Q228" t="str">
        <x:f t="shared" si="17"/>
        <x:v>OK</x:v>
      </x:c>
    </x:row>
    <x:row r="229">
      <x:c r="A229" s="12" t="n">
        <x:v>46222</x:v>
      </x:c>
      <x:c r="B229" t="str">
        <x:v>Trapus šakotis</x:v>
      </x:c>
      <x:c r="C229" t="str">
        <x:v>L296</x:v>
      </x:c>
      <x:c r="D229" t="str">
        <x:v>Grietinės mišinys</x:v>
      </x:c>
      <x:c r="E229" s="13" t="n">
        <x:v>43.199995439999995</x:v>
      </x:c>
      <x:c r="F229" t="str">
        <x:v>Gr0717</x:v>
      </x:c>
      <x:c r="G229" s="12" t="n">
        <x:v>46226</x:v>
      </x:c>
      <x:c r="H229" s="13" t="n">
        <x:v>43.199995439999995</x:v>
      </x:c>
      <x:c r="I229"/>
      <x:c r="J229" s="12"/>
      <x:c r="K229" s="13"/>
      <x:c r="L229"/>
      <x:c r="M229" s="12"/>
      <x:c r="N229" s="13"/>
      <x:c r="O229" s="13" t="n">
        <x:f t="shared" si="15"/>
        <x:v>43.199995439999995</x:v>
      </x:c>
      <x:c r="P229" s="13" t="n">
        <x:f t="shared" si="16"/>
        <x:v>0</x:v>
      </x:c>
      <x:c r="Q229" t="str">
        <x:f t="shared" si="17"/>
        <x:v>OK</x:v>
      </x:c>
    </x:row>
    <x:row r="230">
      <x:c r="A230" s="36" t="n">
        <x:v>46222</x:v>
      </x:c>
      <x:c r="B230" t="str">
        <x:v>Trapus šakotis</x:v>
      </x:c>
      <x:c r="C230" t="str">
        <x:v>L296</x:v>
      </x:c>
      <x:c r="D230" t="str">
        <x:v>Kiaušiniai</x:v>
      </x:c>
      <x:c r="E230" s="38" t="n">
        <x:v>59.999990399999994</x:v>
      </x:c>
      <x:c r="F230" t="str">
        <x:v>K0713</x:v>
      </x:c>
      <x:c r="G230" s="36" t="n">
        <x:v>46237</x:v>
      </x:c>
      <x:c r="H230" s="38" t="n">
        <x:v>59.999990399999994</x:v>
      </x:c>
      <x:c r="I230"/>
      <x:c r="J230" s="36"/>
      <x:c r="K230" s="38"/>
      <x:c r="L230"/>
      <x:c r="M230" s="36"/>
      <x:c r="N230" s="38"/>
      <x:c r="O230" s="38" t="n">
        <x:v>59.999990399999994</x:v>
      </x:c>
      <x:c r="P230" s="38" t="n">
        <x:v>0</x:v>
      </x:c>
      <x:c r="Q230" t="str">
        <x:v>OK</x:v>
      </x:c>
    </x:row>
    <x:row r="231">
      <x:c r="A231" s="36" t="n">
        <x:v>46222</x:v>
      </x:c>
      <x:c r="B231" t="str">
        <x:v>Trapus šakotis</x:v>
      </x:c>
      <x:c r="C231" t="str">
        <x:v>L296</x:v>
      </x:c>
      <x:c r="D231" t="str">
        <x:v>Cukrus</x:v>
      </x:c>
      <x:c r="E231" s="38" t="n">
        <x:v>35.99999424</x:v>
      </x:c>
      <x:c r="F231" t="str">
        <x:v>Cuk0701</x:v>
      </x:c>
      <x:c r="G231" s="36" t="n">
        <x:v>46388</x:v>
      </x:c>
      <x:c r="H231" s="38" t="n">
        <x:v>35.99999424</x:v>
      </x:c>
      <x:c r="I231"/>
      <x:c r="J231" s="36"/>
      <x:c r="K231" s="38"/>
      <x:c r="L231"/>
      <x:c r="M231" s="36"/>
      <x:c r="N231" s="38"/>
      <x:c r="O231" s="38" t="n">
        <x:v>35.99999424</x:v>
      </x:c>
      <x:c r="P231" s="38" t="n">
        <x:v>0</x:v>
      </x:c>
      <x:c r="Q231" t="str">
        <x:v>OK</x:v>
      </x:c>
    </x:row>
    <x:row r="232">
      <x:c r="A232" s="36" t="n">
        <x:v>46222</x:v>
      </x:c>
      <x:c r="B232" t="str">
        <x:v>Trapus šakotis</x:v>
      </x:c>
      <x:c r="C232" t="str">
        <x:v>L296</x:v>
      </x:c>
      <x:c r="D232" t="str">
        <x:v>Margarinas trapiam "IEVA"</x:v>
      </x:c>
      <x:c r="E232" s="38" t="n">
        <x:v>42.4799424</x:v>
      </x:c>
      <x:c r="F232" t="str">
        <x:v>MarI0630</x:v>
      </x:c>
      <x:c r="G232" s="36" t="n">
        <x:v>46336</x:v>
      </x:c>
      <x:c r="H232" s="38" t="n">
        <x:v>42.4799424</x:v>
      </x:c>
      <x:c r="I232"/>
      <x:c r="J232" s="36"/>
      <x:c r="K232" s="38"/>
      <x:c r="L232"/>
      <x:c r="M232" s="36"/>
      <x:c r="N232" s="38"/>
      <x:c r="O232" s="38" t="n">
        <x:v>42.4799424</x:v>
      </x:c>
      <x:c r="P232" s="38" t="n">
        <x:v>0</x:v>
      </x:c>
      <x:c r="Q232" t="str">
        <x:v>OK</x:v>
      </x:c>
    </x:row>
    <x:row r="233">
      <x:c r="A233" s="36" t="n">
        <x:v>46222</x:v>
      </x:c>
      <x:c r="B233" t="str">
        <x:v>Trapus šakotis</x:v>
      </x:c>
      <x:c r="C233" t="str">
        <x:v>L296</x:v>
      </x:c>
      <x:c r="D233"/>
      <x:c r="E233" s="38"/>
      <x:c r="F233"/>
      <x:c r="G233" s="36"/>
      <x:c r="H233" s="38"/>
      <x:c r="I233"/>
      <x:c r="J233" s="36"/>
      <x:c r="K233" s="38"/>
      <x:c r="L233"/>
      <x:c r="M233" s="36"/>
      <x:c r="N233" s="38"/>
      <x:c r="O233" s="38"/>
      <x:c r="P233" s="38"/>
      <x:c r="Q233"/>
    </x:row>
    <x:row r="234">
      <x:c r="A234" s="36" t="n">
        <x:v>46222</x:v>
      </x:c>
      <x:c r="B234" t="str">
        <x:v>Trapus šakotis</x:v>
      </x:c>
      <x:c r="C234" t="str">
        <x:v>L296</x:v>
      </x:c>
      <x:c r="D234"/>
      <x:c r="E234" s="38"/>
      <x:c r="F234"/>
      <x:c r="G234" s="36"/>
      <x:c r="H234" s="38"/>
      <x:c r="I234"/>
      <x:c r="J234" s="36"/>
      <x:c r="K234" s="38"/>
      <x:c r="L234"/>
      <x:c r="M234" s="36"/>
      <x:c r="N234" s="38"/>
      <x:c r="O234" s="38"/>
      <x:c r="P234" s="38"/>
      <x:c r="Q234"/>
    </x:row>
    <x:row r="235">
      <x:c r="A235" s="36" t="n">
        <x:v>46222</x:v>
      </x:c>
      <x:c r="B235" t="str">
        <x:v>Trapus šakotis</x:v>
      </x:c>
      <x:c r="C235" t="str">
        <x:v>L296</x:v>
      </x:c>
      <x:c r="D235"/>
      <x:c r="E235" s="38"/>
      <x:c r="F235"/>
      <x:c r="G235" s="36"/>
      <x:c r="H235" s="38"/>
      <x:c r="I235"/>
      <x:c r="J235" s="36"/>
      <x:c r="K235" s="38"/>
      <x:c r="L235"/>
      <x:c r="M235" s="36"/>
      <x:c r="N235" s="38"/>
      <x:c r="O235" s="38"/>
      <x:c r="P235" s="38"/>
      <x:c r="Q235"/>
    </x:row>
    <x:row r="236">
      <x:c r="A236" s="36" t="n">
        <x:v>46223</x:v>
      </x:c>
      <x:c r="B236" t="str">
        <x:v>Šakotis</x:v>
      </x:c>
      <x:c r="C236" t="str">
        <x:v>L306</x:v>
      </x:c>
      <x:c r="D236" t="str">
        <x:v>Miltai</x:v>
      </x:c>
      <x:c r="E236" s="38" t="n">
        <x:v>87.199986048</x:v>
      </x:c>
      <x:c r="F236" t="str">
        <x:v>Mil0708</x:v>
      </x:c>
      <x:c r="G236" s="36" t="n">
        <x:v>46536</x:v>
      </x:c>
      <x:c r="H236" s="38" t="n">
        <x:v>87.199986048</x:v>
      </x:c>
      <x:c r="I236"/>
      <x:c r="J236" s="36"/>
      <x:c r="K236" s="38"/>
      <x:c r="L236"/>
      <x:c r="M236" s="36"/>
      <x:c r="N236" s="38"/>
      <x:c r="O236" s="38" t="n">
        <x:v>87.199986048</x:v>
      </x:c>
      <x:c r="P236" s="38" t="n">
        <x:v>0</x:v>
      </x:c>
      <x:c r="Q236" t="str">
        <x:v>OK</x:v>
      </x:c>
    </x:row>
    <x:row r="237">
      <x:c r="A237" s="36" t="n">
        <x:v>46223</x:v>
      </x:c>
      <x:c r="B237" t="str">
        <x:v>Šakotis</x:v>
      </x:c>
      <x:c r="C237" t="str">
        <x:v>L306</x:v>
      </x:c>
      <x:c r="D237" t="str">
        <x:v>Pienas</x:v>
      </x:c>
      <x:c r="E237" s="38" t="n">
        <x:v>32.699994767999996</x:v>
      </x:c>
      <x:c r="F237" t="str">
        <x:v>P0715</x:v>
      </x:c>
      <x:c r="G237" s="36" t="n">
        <x:v>46224</x:v>
      </x:c>
      <x:c r="H237" s="38" t="n">
        <x:v>32.699994767999996</x:v>
      </x:c>
      <x:c r="I237"/>
      <x:c r="J237" s="36"/>
      <x:c r="K237" s="38"/>
      <x:c r="L237"/>
      <x:c r="M237" s="36"/>
      <x:c r="N237" s="38"/>
      <x:c r="O237" s="38" t="n">
        <x:v>32.699994767999996</x:v>
      </x:c>
      <x:c r="P237" s="38" t="n">
        <x:v>0</x:v>
      </x:c>
      <x:c r="Q237" t="str">
        <x:v>OK</x:v>
      </x:c>
    </x:row>
    <x:row r="238">
      <x:c r="A238" s="36" t="n">
        <x:v>46223</x:v>
      </x:c>
      <x:c r="B238" t="str">
        <x:v>Šakotis</x:v>
      </x:c>
      <x:c r="C238" t="str">
        <x:v>L306</x:v>
      </x:c>
      <x:c r="D238" t="str">
        <x:v>Kiaušiniai</x:v>
      </x:c>
      <x:c r="E238" s="38" t="n">
        <x:v>119.89989535999997</x:v>
      </x:c>
      <x:c r="F238" t="str">
        <x:v>K0713</x:v>
      </x:c>
      <x:c r="G238" s="36" t="n">
        <x:v>46237</x:v>
      </x:c>
      <x:c r="H238" s="38" t="n">
        <x:v>119.89989535999997</x:v>
      </x:c>
      <x:c r="I238"/>
      <x:c r="J238" s="36"/>
      <x:c r="K238" s="38"/>
      <x:c r="L238"/>
      <x:c r="M238" s="36"/>
      <x:c r="N238" s="38"/>
      <x:c r="O238" s="38" t="n">
        <x:v>119.89989535999997</x:v>
      </x:c>
      <x:c r="P238" s="38" t="n">
        <x:v>0</x:v>
      </x:c>
      <x:c r="Q238" t="str">
        <x:v>OK</x:v>
      </x:c>
    </x:row>
    <x:row r="239">
      <x:c r="A239" s="36" t="n">
        <x:v>46223</x:v>
      </x:c>
      <x:c r="B239" t="str">
        <x:v>Šakotis</x:v>
      </x:c>
      <x:c r="C239" t="str">
        <x:v>L306</x:v>
      </x:c>
      <x:c r="D239" t="str">
        <x:v>Cukrus</x:v>
      </x:c>
      <x:c r="E239" s="38" t="n">
        <x:v>65.39998953599999</x:v>
      </x:c>
      <x:c r="F239" t="str">
        <x:v>Cuk0701</x:v>
      </x:c>
      <x:c r="G239" s="36" t="n">
        <x:v>46388</x:v>
      </x:c>
      <x:c r="H239" s="38" t="n">
        <x:v>65.39998953599999</x:v>
      </x:c>
      <x:c r="I239"/>
      <x:c r="J239" s="36"/>
      <x:c r="K239" s="38"/>
      <x:c r="L239"/>
      <x:c r="M239" s="36"/>
      <x:c r="N239" s="38"/>
      <x:c r="O239" s="38" t="n">
        <x:v>65.39998953599999</x:v>
      </x:c>
      <x:c r="P239" s="38" t="n">
        <x:v>0</x:v>
      </x:c>
      <x:c r="Q239" t="str">
        <x:v>OK</x:v>
      </x:c>
    </x:row>
    <x:row r="240">
      <x:c r="A240" s="36" t="n">
        <x:v>46223</x:v>
      </x:c>
      <x:c r="B240" t="str">
        <x:v>Šakotis</x:v>
      </x:c>
      <x:c r="C240" t="str">
        <x:v>L306</x:v>
      </x:c>
      <x:c r="D240" t="str">
        <x:v>Margarinas Šakočiui "Alvas"</x:v>
      </x:c>
      <x:c r="E240" s="38" t="n">
        <x:v>65.39998953599999</x:v>
      </x:c>
      <x:c r="F240" t="str">
        <x:v>MarA0630</x:v>
      </x:c>
      <x:c r="G240" s="36" t="n">
        <x:v>46306</x:v>
      </x:c>
      <x:c r="H240" s="38" t="n">
        <x:v>65.39998953599999</x:v>
      </x:c>
      <x:c r="I240"/>
      <x:c r="J240" s="36"/>
      <x:c r="K240" s="38"/>
      <x:c r="L240"/>
      <x:c r="M240" s="36"/>
      <x:c r="N240" s="38"/>
      <x:c r="O240" s="38" t="n">
        <x:v>65.39998953599999</x:v>
      </x:c>
      <x:c r="P240" s="38" t="n">
        <x:v>0</x:v>
      </x:c>
      <x:c r="Q240" t="str">
        <x:v>OK</x:v>
      </x:c>
    </x:row>
    <x:row r="241">
      <x:c r="A241" s="36" t="n">
        <x:v>46223</x:v>
      </x:c>
      <x:c r="B241" t="str">
        <x:v>Šakotis</x:v>
      </x:c>
      <x:c r="C241" t="str">
        <x:v>L306</x:v>
      </x:c>
      <x:c r="D241" t="str">
        <x:v>Kvapnioji medžiaga</x:v>
      </x:c>
      <x:c r="E241" s="38" t="n">
        <x:v>0.217998256</x:v>
      </x:c>
      <x:c r="F241" t="str">
        <x:v>Kvp0630</x:v>
      </x:c>
      <x:c r="G241" s="36" t="n">
        <x:v>46388</x:v>
      </x:c>
      <x:c r="H241" s="38" t="n">
        <x:v>0.217998256</x:v>
      </x:c>
      <x:c r="I241"/>
      <x:c r="J241" s="36"/>
      <x:c r="K241" s="38"/>
      <x:c r="L241"/>
      <x:c r="M241" s="36"/>
      <x:c r="N241" s="38"/>
      <x:c r="O241" s="38" t="n">
        <x:v>0.217998256</x:v>
      </x:c>
      <x:c r="P241" s="38" t="n">
        <x:v>0</x:v>
      </x:c>
      <x:c r="Q241" t="str">
        <x:v>OK</x:v>
      </x:c>
    </x:row>
    <x:row r="242">
      <x:c r="A242" s="36" t="n">
        <x:v>46223</x:v>
      </x:c>
      <x:c r="B242" t="str">
        <x:v>Šakotis</x:v>
      </x:c>
      <x:c r="C242" t="str">
        <x:v>L306</x:v>
      </x:c>
      <x:c r="D242" t="str">
        <x:v>Ciberžolė</x:v>
      </x:c>
      <x:c r="E242" s="38" t="n">
        <x:v>0.762993896</x:v>
      </x:c>
      <x:c r="F242" t="str">
        <x:v>Cib0630</x:v>
      </x:c>
      <x:c r="G242" s="36" t="n">
        <x:v>46573</x:v>
      </x:c>
      <x:c r="H242" s="38" t="n">
        <x:v>0.762993896</x:v>
      </x:c>
      <x:c r="I242"/>
      <x:c r="J242" s="36"/>
      <x:c r="K242" s="38"/>
      <x:c r="L242"/>
      <x:c r="M242" s="36"/>
      <x:c r="N242" s="38"/>
      <x:c r="O242" s="38" t="n">
        <x:v>0.762993896</x:v>
      </x:c>
      <x:c r="P242" s="38" t="n">
        <x:v>0</x:v>
      </x:c>
      <x:c r="Q242" t="str">
        <x:v>OK</x:v>
      </x:c>
    </x:row>
    <x:row r="243">
      <x:c r="A243" s="36" t="n">
        <x:v>46223</x:v>
      </x:c>
      <x:c r="B243" t="str">
        <x:v>Šakotis</x:v>
      </x:c>
      <x:c r="C243" t="str">
        <x:v>L306</x:v>
      </x:c>
      <x:c r="D243" t="str">
        <x:v>Vanduo</x:v>
      </x:c>
      <x:c r="E243" s="38" t="n">
        <x:v>10.89799004</x:v>
      </x:c>
      <x:c r="F243" t="str">
        <x:v>Netaikoma</x:v>
      </x:c>
      <x:c r="G243" s="36"/>
      <x:c r="H243" s="38" t="n">
        <x:v>10.89799004</x:v>
      </x:c>
      <x:c r="I243"/>
      <x:c r="J243" s="36"/>
      <x:c r="K243" s="38"/>
      <x:c r="L243"/>
      <x:c r="M243" s="36"/>
      <x:c r="N243" s="38"/>
      <x:c r="O243" s="38" t="n">
        <x:v>10.89799004</x:v>
      </x:c>
      <x:c r="P243" s="38" t="n">
        <x:v>0</x:v>
      </x:c>
      <x:c r="Q243" t="str">
        <x:v>OK</x:v>
      </x:c>
    </x:row>
    <x:row r="244">
      <x:c r="A244" s="36" t="n">
        <x:v>46223</x:v>
      </x:c>
      <x:c r="B244" t="str">
        <x:v>Trapus šakotis</x:v>
      </x:c>
      <x:c r="C244" t="str">
        <x:v>L306</x:v>
      </x:c>
      <x:c r="D244" t="str">
        <x:v>Miltai</x:v>
      </x:c>
      <x:c r="E244" s="38" t="n">
        <x:v>79.9999872</x:v>
      </x:c>
      <x:c r="F244" t="str">
        <x:v>Mil0708</x:v>
      </x:c>
      <x:c r="G244" s="36" t="n">
        <x:v>46536</x:v>
      </x:c>
      <x:c r="H244" s="38" t="n">
        <x:v>79.9999872</x:v>
      </x:c>
      <x:c r="I244"/>
      <x:c r="J244" s="36"/>
      <x:c r="K244" s="38"/>
      <x:c r="L244"/>
      <x:c r="M244" s="36"/>
      <x:c r="N244" s="38"/>
      <x:c r="O244" s="38" t="n">
        <x:v>79.9999872</x:v>
      </x:c>
      <x:c r="P244" s="38" t="n">
        <x:v>0</x:v>
      </x:c>
      <x:c r="Q244" t="str">
        <x:v>OK</x:v>
      </x:c>
    </x:row>
    <x:row r="245">
      <x:c r="A245" s="36" t="n">
        <x:v>46223</x:v>
      </x:c>
      <x:c r="B245" t="str">
        <x:v>Trapus šakotis</x:v>
      </x:c>
      <x:c r="C245" t="str">
        <x:v>L306</x:v>
      </x:c>
      <x:c r="D245" t="str">
        <x:v>Grietinės mišinys</x:v>
      </x:c>
      <x:c r="E245" s="38" t="n">
        <x:v>57.59999392</x:v>
      </x:c>
      <x:c r="F245" t="str">
        <x:v>Gr0717</x:v>
      </x:c>
      <x:c r="G245" s="36" t="n">
        <x:v>46226</x:v>
      </x:c>
      <x:c r="H245" s="38" t="n">
        <x:v>57.59999392</x:v>
      </x:c>
      <x:c r="I245"/>
      <x:c r="J245" s="36"/>
      <x:c r="K245" s="38"/>
      <x:c r="L245"/>
      <x:c r="M245" s="36"/>
      <x:c r="N245" s="38"/>
      <x:c r="O245" s="38" t="n">
        <x:v>57.59999392</x:v>
      </x:c>
      <x:c r="P245" s="38" t="n">
        <x:v>0</x:v>
      </x:c>
      <x:c r="Q245" t="str">
        <x:v>OK</x:v>
      </x:c>
    </x:row>
    <x:row r="246">
      <x:c r="A246" s="36" t="n">
        <x:v>46223</x:v>
      </x:c>
      <x:c r="B246" t="str">
        <x:v>Trapus šakotis</x:v>
      </x:c>
      <x:c r="C246" t="str">
        <x:v>L306</x:v>
      </x:c>
      <x:c r="D246" t="str">
        <x:v>Kiaušiniai</x:v>
      </x:c>
      <x:c r="E246" s="38" t="n">
        <x:v>79.9999872</x:v>
      </x:c>
      <x:c r="F246" t="str">
        <x:v>K0713</x:v>
      </x:c>
      <x:c r="G246" s="36" t="n">
        <x:v>46237</x:v>
      </x:c>
      <x:c r="H246" s="38" t="n">
        <x:v>79.9999872</x:v>
      </x:c>
      <x:c r="I246"/>
      <x:c r="J246" s="36"/>
      <x:c r="K246" s="38"/>
      <x:c r="L246"/>
      <x:c r="M246" s="36"/>
      <x:c r="N246" s="38"/>
      <x:c r="O246" s="38" t="n">
        <x:v>79.9999872</x:v>
      </x:c>
      <x:c r="P246" s="38" t="n">
        <x:v>0</x:v>
      </x:c>
      <x:c r="Q246" t="str">
        <x:v>OK</x:v>
      </x:c>
    </x:row>
    <x:row r="247">
      <x:c r="A247" s="36" t="n">
        <x:v>46223</x:v>
      </x:c>
      <x:c r="B247" t="str">
        <x:v>Trapus šakotis</x:v>
      </x:c>
      <x:c r="C247" t="str">
        <x:v>L306</x:v>
      </x:c>
      <x:c r="D247" t="str">
        <x:v>Cukrus</x:v>
      </x:c>
      <x:c r="E247" s="38" t="n">
        <x:v>47.999992320000004</x:v>
      </x:c>
      <x:c r="F247" t="str">
        <x:v>Cuk0701</x:v>
      </x:c>
      <x:c r="G247" s="36" t="n">
        <x:v>46388</x:v>
      </x:c>
      <x:c r="H247" s="38" t="n">
        <x:v>47.999992320000004</x:v>
      </x:c>
      <x:c r="I247"/>
      <x:c r="J247" s="36"/>
      <x:c r="K247" s="38"/>
      <x:c r="L247"/>
      <x:c r="M247" s="36"/>
      <x:c r="N247" s="38"/>
      <x:c r="O247" s="38" t="n">
        <x:v>47.999992320000004</x:v>
      </x:c>
      <x:c r="P247" s="38" t="n">
        <x:v>0</x:v>
      </x:c>
      <x:c r="Q247" t="str">
        <x:v>OK</x:v>
      </x:c>
    </x:row>
    <x:row r="248">
      <x:c r="A248" s="36" t="n">
        <x:v>46223</x:v>
      </x:c>
      <x:c r="B248" t="str">
        <x:v>Trapus šakotis</x:v>
      </x:c>
      <x:c r="C248" t="str">
        <x:v>L306</x:v>
      </x:c>
      <x:c r="D248" t="str">
        <x:v>Margarinas trapiam "IEVA"</x:v>
      </x:c>
      <x:c r="E248" s="38" t="n">
        <x:v>56.639923200000005</x:v>
      </x:c>
      <x:c r="F248" t="str">
        <x:v>MarI0630</x:v>
      </x:c>
      <x:c r="G248" s="36" t="n">
        <x:v>46336</x:v>
      </x:c>
      <x:c r="H248" s="38" t="n">
        <x:v>56.639923200000005</x:v>
      </x:c>
      <x:c r="I248"/>
      <x:c r="J248" s="36"/>
      <x:c r="K248" s="38"/>
      <x:c r="L248"/>
      <x:c r="M248" s="36"/>
      <x:c r="N248" s="38"/>
      <x:c r="O248" s="38" t="n">
        <x:v>56.639923200000005</x:v>
      </x:c>
      <x:c r="P248" s="38" t="n">
        <x:v>0</x:v>
      </x:c>
      <x:c r="Q248" t="str">
        <x:v>OK</x:v>
      </x:c>
    </x:row>
    <x:row r="249">
      <x:c r="A249" s="36" t="n">
        <x:v>46223</x:v>
      </x:c>
      <x:c r="B249" t="str">
        <x:v>Trapus šakotis</x:v>
      </x:c>
      <x:c r="C249" t="str">
        <x:v>L306</x:v>
      </x:c>
      <x:c r="D249"/>
      <x:c r="E249" s="38"/>
      <x:c r="F249"/>
      <x:c r="G249" s="36"/>
      <x:c r="H249" s="38"/>
      <x:c r="I249"/>
      <x:c r="J249" s="36"/>
      <x:c r="K249" s="38"/>
      <x:c r="L249"/>
      <x:c r="M249" s="36"/>
      <x:c r="N249" s="38"/>
      <x:c r="O249" s="38"/>
      <x:c r="P249" s="38"/>
      <x:c r="Q249"/>
    </x:row>
    <x:row r="250">
      <x:c r="A250" s="36" t="n">
        <x:v>46223</x:v>
      </x:c>
      <x:c r="B250" t="str">
        <x:v>Trapus šakotis</x:v>
      </x:c>
      <x:c r="C250" t="str">
        <x:v>L306</x:v>
      </x:c>
      <x:c r="D250"/>
      <x:c r="E250" s="38"/>
      <x:c r="F250"/>
      <x:c r="G250" s="36"/>
      <x:c r="H250" s="38"/>
      <x:c r="I250"/>
      <x:c r="J250" s="36"/>
      <x:c r="K250" s="38"/>
      <x:c r="L250"/>
      <x:c r="M250" s="36"/>
      <x:c r="N250" s="38"/>
      <x:c r="O250" s="38"/>
      <x:c r="P250" s="38"/>
      <x:c r="Q250"/>
    </x:row>
    <x:row r="251">
      <x:c r="A251" s="36" t="n">
        <x:v>46223</x:v>
      </x:c>
      <x:c r="B251" t="str">
        <x:v>Trapus šakotis</x:v>
      </x:c>
      <x:c r="C251" t="str">
        <x:v>L306</x:v>
      </x:c>
      <x:c r="D251"/>
      <x:c r="E251" s="38"/>
      <x:c r="F251"/>
      <x:c r="G251" s="36"/>
      <x:c r="H251" s="38"/>
      <x:c r="I251"/>
      <x:c r="J251" s="36"/>
      <x:c r="K251" s="38"/>
      <x:c r="L251"/>
      <x:c r="M251" s="36"/>
      <x:c r="N251" s="38"/>
      <x:c r="O251" s="38"/>
      <x:c r="P251" s="38"/>
      <x:c r="Q251"/>
    </x:row>
    <x:row r="252">
      <x:c r="A252" s="36" t="n">
        <x:v>46224</x:v>
      </x:c>
      <x:c r="B252" t="str">
        <x:v>Šakotis</x:v>
      </x:c>
      <x:c r="C252" t="str">
        <x:v>L306</x:v>
      </x:c>
      <x:c r="D252" t="str">
        <x:v>Miltai</x:v>
      </x:c>
      <x:c r="E252" s="38" t="n">
        <x:v>93.99998496</x:v>
      </x:c>
      <x:c r="F252" t="str">
        <x:v>Mil0708</x:v>
      </x:c>
      <x:c r="G252" s="36" t="n">
        <x:v>46536</x:v>
      </x:c>
      <x:c r="H252" s="38" t="n">
        <x:v>93.99998496</x:v>
      </x:c>
      <x:c r="I252"/>
      <x:c r="J252" s="36"/>
      <x:c r="K252" s="38"/>
      <x:c r="L252"/>
      <x:c r="M252" s="36"/>
      <x:c r="N252" s="38"/>
      <x:c r="O252" s="38" t="n">
        <x:v>93.99998496</x:v>
      </x:c>
      <x:c r="P252" s="38" t="n">
        <x:v>0</x:v>
      </x:c>
      <x:c r="Q252" t="str">
        <x:v>OK</x:v>
      </x:c>
    </x:row>
    <x:row r="253">
      <x:c r="A253" s="36" t="n">
        <x:v>46224</x:v>
      </x:c>
      <x:c r="B253" t="str">
        <x:v>Šakotis</x:v>
      </x:c>
      <x:c r="C253" t="str">
        <x:v>L306</x:v>
      </x:c>
      <x:c r="D253" t="str">
        <x:v>Pienas</x:v>
      </x:c>
      <x:c r="E253" s="38" t="n">
        <x:v>35.24999436</x:v>
      </x:c>
      <x:c r="F253" t="str">
        <x:v>P0715</x:v>
      </x:c>
      <x:c r="G253" s="36" t="n">
        <x:v>46224</x:v>
      </x:c>
      <x:c r="H253" s="38" t="n">
        <x:v>14.550021672</x:v>
      </x:c>
      <x:c r="I253" t="str">
        <x:v>P0720</x:v>
      </x:c>
      <x:c r="J253" s="36" t="n">
        <x:v>46227</x:v>
      </x:c>
      <x:c r="K253" s="38" t="n">
        <x:v>20.699972688000003</x:v>
      </x:c>
      <x:c r="L253"/>
      <x:c r="M253" s="36"/>
      <x:c r="N253" s="38"/>
      <x:c r="O253" s="38" t="n">
        <x:v>35.24999436</x:v>
      </x:c>
      <x:c r="P253" s="38" t="n">
        <x:v>0</x:v>
      </x:c>
      <x:c r="Q253" t="str">
        <x:v>OK</x:v>
      </x:c>
    </x:row>
    <x:row r="254">
      <x:c r="A254" s="36" t="n">
        <x:v>46224</x:v>
      </x:c>
      <x:c r="B254" t="str">
        <x:v>Šakotis</x:v>
      </x:c>
      <x:c r="C254" t="str">
        <x:v>L306</x:v>
      </x:c>
      <x:c r="D254" t="str">
        <x:v>Kiaušiniai</x:v>
      </x:c>
      <x:c r="E254" s="38" t="n">
        <x:v>129.2498872</x:v>
      </x:c>
      <x:c r="F254" t="str">
        <x:v>K0713</x:v>
      </x:c>
      <x:c r="G254" s="36" t="n">
        <x:v>46237</x:v>
      </x:c>
      <x:c r="H254" s="38" t="n">
        <x:v>129.2498872</x:v>
      </x:c>
      <x:c r="I254"/>
      <x:c r="J254" s="36"/>
      <x:c r="K254" s="38"/>
      <x:c r="L254"/>
      <x:c r="M254" s="36"/>
      <x:c r="N254" s="38"/>
      <x:c r="O254" s="38" t="n">
        <x:v>129.2498872</x:v>
      </x:c>
      <x:c r="P254" s="38" t="n">
        <x:v>0</x:v>
      </x:c>
      <x:c r="Q254" t="str">
        <x:v>OK</x:v>
      </x:c>
    </x:row>
    <x:row r="255">
      <x:c r="A255" s="36" t="n">
        <x:v>46224</x:v>
      </x:c>
      <x:c r="B255" t="str">
        <x:v>Šakotis</x:v>
      </x:c>
      <x:c r="C255" t="str">
        <x:v>L306</x:v>
      </x:c>
      <x:c r="D255" t="str">
        <x:v>Cukrus</x:v>
      </x:c>
      <x:c r="E255" s="38" t="n">
        <x:v>70.49998872</x:v>
      </x:c>
      <x:c r="F255" t="str">
        <x:v>Cuk0701</x:v>
      </x:c>
      <x:c r="G255" s="36" t="n">
        <x:v>46388</x:v>
      </x:c>
      <x:c r="H255" s="38" t="n">
        <x:v>70.49998872</x:v>
      </x:c>
      <x:c r="I255"/>
      <x:c r="J255" s="36"/>
      <x:c r="K255" s="38"/>
      <x:c r="L255"/>
      <x:c r="M255" s="36"/>
      <x:c r="N255" s="38"/>
      <x:c r="O255" s="38" t="n">
        <x:v>70.49998872</x:v>
      </x:c>
      <x:c r="P255" s="38" t="n">
        <x:v>0</x:v>
      </x:c>
      <x:c r="Q255" t="str">
        <x:v>OK</x:v>
      </x:c>
    </x:row>
    <x:row r="256">
      <x:c r="A256" s="36" t="n">
        <x:v>46224</x:v>
      </x:c>
      <x:c r="B256" t="str">
        <x:v>Šakotis</x:v>
      </x:c>
      <x:c r="C256" t="str">
        <x:v>L306</x:v>
      </x:c>
      <x:c r="D256" t="str">
        <x:v>Margarinas Šakočiui "Alvas"</x:v>
      </x:c>
      <x:c r="E256" s="38" t="n">
        <x:v>70.49998872</x:v>
      </x:c>
      <x:c r="F256" t="str">
        <x:v>MarA0630</x:v>
      </x:c>
      <x:c r="G256" s="36" t="n">
        <x:v>46306</x:v>
      </x:c>
      <x:c r="H256" s="38" t="n">
        <x:v>70.49998872</x:v>
      </x:c>
      <x:c r="I256"/>
      <x:c r="J256" s="36"/>
      <x:c r="K256" s="38"/>
      <x:c r="L256"/>
      <x:c r="M256" s="36"/>
      <x:c r="N256" s="38"/>
      <x:c r="O256" s="38" t="n">
        <x:v>70.49998872</x:v>
      </x:c>
      <x:c r="P256" s="38" t="n">
        <x:v>0</x:v>
      </x:c>
      <x:c r="Q256" t="str">
        <x:v>OK</x:v>
      </x:c>
    </x:row>
    <x:row r="257">
      <x:c r="A257" s="36" t="n">
        <x:v>46224</x:v>
      </x:c>
      <x:c r="B257" t="str">
        <x:v>Šakotis</x:v>
      </x:c>
      <x:c r="C257" t="str">
        <x:v>L306</x:v>
      </x:c>
      <x:c r="D257" t="str">
        <x:v>Kvapnioji medžiaga</x:v>
      </x:c>
      <x:c r="E257" s="38" t="n">
        <x:v>0.23499812000000003</x:v>
      </x:c>
      <x:c r="F257" t="str">
        <x:v>Kvp0630</x:v>
      </x:c>
      <x:c r="G257" s="36" t="n">
        <x:v>46388</x:v>
      </x:c>
      <x:c r="H257" s="38" t="n">
        <x:v>0.23499812000000003</x:v>
      </x:c>
      <x:c r="I257"/>
      <x:c r="J257" s="36"/>
      <x:c r="K257" s="38"/>
      <x:c r="L257"/>
      <x:c r="M257" s="36"/>
      <x:c r="N257" s="38"/>
      <x:c r="O257" s="38" t="n">
        <x:v>0.23499812000000003</x:v>
      </x:c>
      <x:c r="P257" s="38" t="n">
        <x:v>0</x:v>
      </x:c>
      <x:c r="Q257" t="str">
        <x:v>OK</x:v>
      </x:c>
    </x:row>
    <x:row r="258">
      <x:c r="A258" s="36" t="n">
        <x:v>46224</x:v>
      </x:c>
      <x:c r="B258" t="str">
        <x:v>Šakotis</x:v>
      </x:c>
      <x:c r="C258" t="str">
        <x:v>L306</x:v>
      </x:c>
      <x:c r="D258" t="str">
        <x:v>Ciberžolė</x:v>
      </x:c>
      <x:c r="E258" s="38" t="n">
        <x:v>0.82249342</x:v>
      </x:c>
      <x:c r="F258" t="str">
        <x:v>Cib0630</x:v>
      </x:c>
      <x:c r="G258" s="36" t="n">
        <x:v>46573</x:v>
      </x:c>
      <x:c r="H258" s="38" t="n">
        <x:v>0.82249342</x:v>
      </x:c>
      <x:c r="I258"/>
      <x:c r="J258" s="36"/>
      <x:c r="K258" s="38"/>
      <x:c r="L258"/>
      <x:c r="M258" s="36"/>
      <x:c r="N258" s="38"/>
      <x:c r="O258" s="38" t="n">
        <x:v>0.82249342</x:v>
      </x:c>
      <x:c r="P258" s="38" t="n">
        <x:v>0</x:v>
      </x:c>
      <x:c r="Q258" t="str">
        <x:v>OK</x:v>
      </x:c>
    </x:row>
    <x:row r="259">
      <x:c r="A259" s="36" t="n">
        <x:v>46224</x:v>
      </x:c>
      <x:c r="B259" t="str">
        <x:v>Šakotis</x:v>
      </x:c>
      <x:c r="C259" t="str">
        <x:v>L306</x:v>
      </x:c>
      <x:c r="D259" t="str">
        <x:v>Vanduo</x:v>
      </x:c>
      <x:c r="E259" s="38" t="n">
        <x:v>11.7478333</x:v>
      </x:c>
      <x:c r="F259" t="str">
        <x:v>Netaikoma</x:v>
      </x:c>
      <x:c r="G259" s="36"/>
      <x:c r="H259" s="38" t="n">
        <x:v>11.7478333</x:v>
      </x:c>
      <x:c r="I259"/>
      <x:c r="J259" s="36"/>
      <x:c r="K259" s="38"/>
      <x:c r="L259"/>
      <x:c r="M259" s="36"/>
      <x:c r="N259" s="38"/>
      <x:c r="O259" s="38" t="n">
        <x:v>11.7478333</x:v>
      </x:c>
      <x:c r="P259" s="38" t="n">
        <x:v>0</x:v>
      </x:c>
      <x:c r="Q259" t="str">
        <x:v>OK</x:v>
      </x:c>
    </x:row>
    <x:row r="260">
      <x:c r="A260" s="36" t="n">
        <x:v>46224</x:v>
      </x:c>
      <x:c r="B260" t="str">
        <x:v>Trapus šakotis</x:v>
      </x:c>
      <x:c r="C260" t="str">
        <x:v>L306</x:v>
      </x:c>
      <x:c r="D260" t="str">
        <x:v>Miltai</x:v>
      </x:c>
      <x:c r="E260" s="38" t="n">
        <x:v>82.99998672</x:v>
      </x:c>
      <x:c r="F260" t="str">
        <x:v>Mil0708</x:v>
      </x:c>
      <x:c r="G260" s="36" t="n">
        <x:v>46536</x:v>
      </x:c>
      <x:c r="H260" s="38" t="n">
        <x:v>82.99998672</x:v>
      </x:c>
      <x:c r="I260"/>
      <x:c r="J260" s="36"/>
      <x:c r="K260" s="38"/>
      <x:c r="L260"/>
      <x:c r="M260" s="36"/>
      <x:c r="N260" s="38"/>
      <x:c r="O260" s="38" t="n">
        <x:v>82.99998672</x:v>
      </x:c>
      <x:c r="P260" s="38" t="n">
        <x:v>0</x:v>
      </x:c>
      <x:c r="Q260" t="str">
        <x:v>OK</x:v>
      </x:c>
    </x:row>
    <x:row r="261">
      <x:c r="A261" s="36" t="n">
        <x:v>46224</x:v>
      </x:c>
      <x:c r="B261" t="str">
        <x:v>Trapus šakotis</x:v>
      </x:c>
      <x:c r="C261" t="str">
        <x:v>L306</x:v>
      </x:c>
      <x:c r="D261" t="str">
        <x:v>Grietinės mišinys</x:v>
      </x:c>
      <x:c r="E261" s="38" t="n">
        <x:v>59.759993692</x:v>
      </x:c>
      <x:c r="F261" t="str">
        <x:v>Gr0717</x:v>
      </x:c>
      <x:c r="G261" s="36" t="n">
        <x:v>46226</x:v>
      </x:c>
      <x:c r="H261" s="38" t="n">
        <x:v>8.000059849999985</x:v>
      </x:c>
      <x:c r="I261" t="str">
        <x:v>Gr0720</x:v>
      </x:c>
      <x:c r="J261" s="36" t="n">
        <x:v>46234</x:v>
      </x:c>
      <x:c r="K261" s="38" t="n">
        <x:v>51.75993384200002</x:v>
      </x:c>
      <x:c r="L261"/>
      <x:c r="M261" s="36"/>
      <x:c r="N261" s="38"/>
      <x:c r="O261" s="38" t="n">
        <x:v>59.759993692</x:v>
      </x:c>
      <x:c r="P261" s="38" t="n">
        <x:v>0</x:v>
      </x:c>
      <x:c r="Q261" t="str">
        <x:v>OK</x:v>
      </x:c>
    </x:row>
    <x:row r="262">
      <x:c r="A262" s="36" t="n">
        <x:v>46224</x:v>
      </x:c>
      <x:c r="B262" t="str">
        <x:v>Trapus šakotis</x:v>
      </x:c>
      <x:c r="C262" t="str">
        <x:v>L306</x:v>
      </x:c>
      <x:c r="D262" t="str">
        <x:v>Kiaušiniai</x:v>
      </x:c>
      <x:c r="E262" s="38" t="n">
        <x:v>82.99998672</x:v>
      </x:c>
      <x:c r="F262" t="str">
        <x:v>K0713</x:v>
      </x:c>
      <x:c r="G262" s="36" t="n">
        <x:v>46237</x:v>
      </x:c>
      <x:c r="H262" s="38" t="n">
        <x:v>82.99998672</x:v>
      </x:c>
      <x:c r="I262"/>
      <x:c r="J262" s="36"/>
      <x:c r="K262" s="38"/>
      <x:c r="L262"/>
      <x:c r="M262" s="36"/>
      <x:c r="N262" s="38"/>
      <x:c r="O262" s="38" t="n">
        <x:v>82.99998672</x:v>
      </x:c>
      <x:c r="P262" s="38" t="n">
        <x:v>0</x:v>
      </x:c>
      <x:c r="Q262" t="str">
        <x:v>OK</x:v>
      </x:c>
    </x:row>
    <x:row r="263">
      <x:c r="A263" s="36" t="n">
        <x:v>46224</x:v>
      </x:c>
      <x:c r="B263" t="str">
        <x:v>Trapus šakotis</x:v>
      </x:c>
      <x:c r="C263" t="str">
        <x:v>L306</x:v>
      </x:c>
      <x:c r="D263" t="str">
        <x:v>Cukrus</x:v>
      </x:c>
      <x:c r="E263" s="38" t="n">
        <x:v>49.799992032000006</x:v>
      </x:c>
      <x:c r="F263" t="str">
        <x:v>Cuk0701</x:v>
      </x:c>
      <x:c r="G263" s="36" t="n">
        <x:v>46388</x:v>
      </x:c>
      <x:c r="H263" s="38" t="n">
        <x:v>49.799992032000006</x:v>
      </x:c>
      <x:c r="I263"/>
      <x:c r="J263" s="36"/>
      <x:c r="K263" s="38"/>
      <x:c r="L263"/>
      <x:c r="M263" s="36"/>
      <x:c r="N263" s="38"/>
      <x:c r="O263" s="38" t="n">
        <x:v>49.799992032000006</x:v>
      </x:c>
      <x:c r="P263" s="38" t="n">
        <x:v>0</x:v>
      </x:c>
      <x:c r="Q263" t="str">
        <x:v>OK</x:v>
      </x:c>
    </x:row>
    <x:row r="264">
      <x:c r="A264" s="36" t="n">
        <x:v>46224</x:v>
      </x:c>
      <x:c r="B264" t="str">
        <x:v>Trapus šakotis</x:v>
      </x:c>
      <x:c r="C264" t="str">
        <x:v>L306</x:v>
      </x:c>
      <x:c r="D264" t="str">
        <x:v>Margarinas trapiam "IEVA"</x:v>
      </x:c>
      <x:c r="E264" s="38" t="n">
        <x:v>58.763920320000004</x:v>
      </x:c>
      <x:c r="F264" t="str">
        <x:v>MarI0630</x:v>
      </x:c>
      <x:c r="G264" s="36" t="n">
        <x:v>46336</x:v>
      </x:c>
      <x:c r="H264" s="38" t="n">
        <x:v>54.83101039999997</x:v>
      </x:c>
      <x:c r="I264" t="str">
        <x:v>MarI0702</x:v>
      </x:c>
      <x:c r="J264" s="36" t="n">
        <x:v>46373</x:v>
      </x:c>
      <x:c r="K264" s="38" t="n">
        <x:v>3.9329099200000357</x:v>
      </x:c>
      <x:c r="L264"/>
      <x:c r="M264" s="36"/>
      <x:c r="N264" s="38"/>
      <x:c r="O264" s="38" t="n">
        <x:v>58.763920320000004</x:v>
      </x:c>
      <x:c r="P264" s="38" t="n">
        <x:v>0</x:v>
      </x:c>
      <x:c r="Q264" t="str">
        <x:v>OK</x:v>
      </x:c>
    </x:row>
    <x:row r="265">
      <x:c r="A265" s="36" t="n">
        <x:v>46224</x:v>
      </x:c>
      <x:c r="B265" t="str">
        <x:v>Trapus šakotis</x:v>
      </x:c>
      <x:c r="C265" t="str">
        <x:v>L306</x:v>
      </x:c>
      <x:c r="D265"/>
      <x:c r="E265" s="38"/>
      <x:c r="F265"/>
      <x:c r="G265" s="36"/>
      <x:c r="H265" s="38"/>
      <x:c r="I265"/>
      <x:c r="J265" s="36"/>
      <x:c r="K265" s="38"/>
      <x:c r="L265"/>
      <x:c r="M265" s="36"/>
      <x:c r="N265" s="38"/>
      <x:c r="O265" s="38"/>
      <x:c r="P265" s="38"/>
      <x:c r="Q265"/>
    </x:row>
    <x:row r="266">
      <x:c r="A266" s="36" t="n">
        <x:v>46224</x:v>
      </x:c>
      <x:c r="B266" t="str">
        <x:v>Trapus šakotis</x:v>
      </x:c>
      <x:c r="C266" t="str">
        <x:v>L306</x:v>
      </x:c>
      <x:c r="D266"/>
      <x:c r="E266" s="38"/>
      <x:c r="F266"/>
      <x:c r="G266" s="36"/>
      <x:c r="H266" s="38"/>
      <x:c r="I266"/>
      <x:c r="J266" s="36"/>
      <x:c r="K266" s="38"/>
      <x:c r="L266"/>
      <x:c r="M266" s="36"/>
      <x:c r="N266" s="38"/>
      <x:c r="O266" s="38"/>
      <x:c r="P266" s="38"/>
      <x:c r="Q266"/>
    </x:row>
    <x:row r="267">
      <x:c r="A267" s="36" t="n">
        <x:v>46224</x:v>
      </x:c>
      <x:c r="B267" t="str">
        <x:v>Trapus šakotis</x:v>
      </x:c>
      <x:c r="C267" t="str">
        <x:v>L306</x:v>
      </x:c>
      <x:c r="D267"/>
      <x:c r="E267" s="38"/>
      <x:c r="F267"/>
      <x:c r="G267" s="36"/>
      <x:c r="H267" s="38"/>
      <x:c r="I267"/>
      <x:c r="J267" s="36"/>
      <x:c r="K267" s="38"/>
      <x:c r="L267"/>
      <x:c r="M267" s="36"/>
      <x:c r="N267" s="38"/>
      <x:c r="O267" s="38"/>
      <x:c r="P267" s="38"/>
      <x:c r="Q267"/>
    </x:row>
    <x:row r="268">
      <x:c r="A268" s="36" t="n">
        <x:v>46225</x:v>
      </x:c>
      <x:c r="B268" t="str">
        <x:v>Šakotis</x:v>
      </x:c>
      <x:c r="C268" t="str">
        <x:v>L306</x:v>
      </x:c>
      <x:c r="D268" t="str">
        <x:v>Miltai</x:v>
      </x:c>
      <x:c r="E268" s="38" t="n">
        <x:v>103.599983424</x:v>
      </x:c>
      <x:c r="F268" t="str">
        <x:v>Mil0708</x:v>
      </x:c>
      <x:c r="G268" s="36" t="n">
        <x:v>46536</x:v>
      </x:c>
      <x:c r="H268" s="38" t="n">
        <x:v>103.599983424</x:v>
      </x:c>
      <x:c r="I268"/>
      <x:c r="J268" s="36"/>
      <x:c r="K268" s="38"/>
      <x:c r="L268"/>
      <x:c r="M268" s="36"/>
      <x:c r="N268" s="38"/>
      <x:c r="O268" s="38" t="n">
        <x:v>103.599983424</x:v>
      </x:c>
      <x:c r="P268" s="38" t="n">
        <x:v>0</x:v>
      </x:c>
      <x:c r="Q268" t="str">
        <x:v>OK</x:v>
      </x:c>
    </x:row>
    <x:row r="269">
      <x:c r="A269" s="36" t="n">
        <x:v>46225</x:v>
      </x:c>
      <x:c r="B269" t="str">
        <x:v>Šakotis</x:v>
      </x:c>
      <x:c r="C269" t="str">
        <x:v>L306</x:v>
      </x:c>
      <x:c r="D269" t="str">
        <x:v>Pienas</x:v>
      </x:c>
      <x:c r="E269" s="38" t="n">
        <x:v>38.849993784</x:v>
      </x:c>
      <x:c r="F269" t="str">
        <x:v>P0720</x:v>
      </x:c>
      <x:c r="G269" s="36" t="n">
        <x:v>46227</x:v>
      </x:c>
      <x:c r="H269" s="38" t="n">
        <x:v>38.849993784</x:v>
      </x:c>
      <x:c r="I269"/>
      <x:c r="J269" s="36"/>
      <x:c r="K269" s="38"/>
      <x:c r="L269"/>
      <x:c r="M269" s="36"/>
      <x:c r="N269" s="38"/>
      <x:c r="O269" s="38" t="n">
        <x:v>38.849993784</x:v>
      </x:c>
      <x:c r="P269" s="38" t="n">
        <x:v>0</x:v>
      </x:c>
      <x:c r="Q269" t="str">
        <x:v>OK</x:v>
      </x:c>
    </x:row>
    <x:row r="270">
      <x:c r="A270" s="36" t="n">
        <x:v>46225</x:v>
      </x:c>
      <x:c r="B270" t="str">
        <x:v>Šakotis</x:v>
      </x:c>
      <x:c r="C270" t="str">
        <x:v>L306</x:v>
      </x:c>
      <x:c r="D270" t="str">
        <x:v>Kiaušiniai</x:v>
      </x:c>
      <x:c r="E270" s="38" t="n">
        <x:v>142.44987568</x:v>
      </x:c>
      <x:c r="F270" t="str">
        <x:v>K0713</x:v>
      </x:c>
      <x:c r="G270" s="36" t="n">
        <x:v>46237</x:v>
      </x:c>
      <x:c r="H270" s="38" t="n">
        <x:v>142.44987568</x:v>
      </x:c>
      <x:c r="I270"/>
      <x:c r="J270" s="36"/>
      <x:c r="K270" s="38"/>
      <x:c r="L270"/>
      <x:c r="M270" s="36"/>
      <x:c r="N270" s="38"/>
      <x:c r="O270" s="38" t="n">
        <x:v>142.44987568</x:v>
      </x:c>
      <x:c r="P270" s="38" t="n">
        <x:v>0</x:v>
      </x:c>
      <x:c r="Q270" t="str">
        <x:v>OK</x:v>
      </x:c>
    </x:row>
    <x:row r="271">
      <x:c r="A271" s="36" t="n">
        <x:v>46225</x:v>
      </x:c>
      <x:c r="B271" t="str">
        <x:v>Šakotis</x:v>
      </x:c>
      <x:c r="C271" t="str">
        <x:v>L306</x:v>
      </x:c>
      <x:c r="D271" t="str">
        <x:v>Cukrus</x:v>
      </x:c>
      <x:c r="E271" s="38" t="n">
        <x:v>77.699987568</x:v>
      </x:c>
      <x:c r="F271" t="str">
        <x:v>Cuk0701</x:v>
      </x:c>
      <x:c r="G271" s="36" t="n">
        <x:v>46388</x:v>
      </x:c>
      <x:c r="H271" s="38" t="n">
        <x:v>77.699987568</x:v>
      </x:c>
      <x:c r="I271"/>
      <x:c r="J271" s="36"/>
      <x:c r="K271" s="38"/>
      <x:c r="L271"/>
      <x:c r="M271" s="36"/>
      <x:c r="N271" s="38"/>
      <x:c r="O271" s="38" t="n">
        <x:v>77.699987568</x:v>
      </x:c>
      <x:c r="P271" s="38" t="n">
        <x:v>0</x:v>
      </x:c>
      <x:c r="Q271" t="str">
        <x:v>OK</x:v>
      </x:c>
    </x:row>
    <x:row r="272">
      <x:c r="A272" s="36" t="n">
        <x:v>46225</x:v>
      </x:c>
      <x:c r="B272" t="str">
        <x:v>Šakotis</x:v>
      </x:c>
      <x:c r="C272" t="str">
        <x:v>L306</x:v>
      </x:c>
      <x:c r="D272" t="str">
        <x:v>Margarinas Šakočiui "Alvas"</x:v>
      </x:c>
      <x:c r="E272" s="38" t="n">
        <x:v>77.699987568</x:v>
      </x:c>
      <x:c r="F272" t="str">
        <x:v>MarA0630</x:v>
      </x:c>
      <x:c r="G272" s="36" t="n">
        <x:v>46306</x:v>
      </x:c>
      <x:c r="H272" s="38" t="n">
        <x:v>77.699987568</x:v>
      </x:c>
      <x:c r="I272"/>
      <x:c r="J272" s="36"/>
      <x:c r="K272" s="38"/>
      <x:c r="L272"/>
      <x:c r="M272" s="36"/>
      <x:c r="N272" s="38"/>
      <x:c r="O272" s="38" t="n">
        <x:v>77.699987568</x:v>
      </x:c>
      <x:c r="P272" s="38" t="n">
        <x:v>0</x:v>
      </x:c>
      <x:c r="Q272" t="str">
        <x:v>OK</x:v>
      </x:c>
    </x:row>
    <x:row r="273">
      <x:c r="A273" s="36" t="n">
        <x:v>46225</x:v>
      </x:c>
      <x:c r="B273" t="str">
        <x:v>Šakotis</x:v>
      </x:c>
      <x:c r="C273" t="str">
        <x:v>L306</x:v>
      </x:c>
      <x:c r="D273" t="str">
        <x:v>Kvapnioji medžiaga</x:v>
      </x:c>
      <x:c r="E273" s="38" t="n">
        <x:v>0.258997928</x:v>
      </x:c>
      <x:c r="F273" t="str">
        <x:v>Kvp0630</x:v>
      </x:c>
      <x:c r="G273" s="36" t="n">
        <x:v>46388</x:v>
      </x:c>
      <x:c r="H273" s="38" t="n">
        <x:v>0.258997928</x:v>
      </x:c>
      <x:c r="I273"/>
      <x:c r="J273" s="36"/>
      <x:c r="K273" s="38"/>
      <x:c r="L273"/>
      <x:c r="M273" s="36"/>
      <x:c r="N273" s="38"/>
      <x:c r="O273" s="38" t="n">
        <x:v>0.258997928</x:v>
      </x:c>
      <x:c r="P273" s="38" t="n">
        <x:v>0</x:v>
      </x:c>
      <x:c r="Q273" t="str">
        <x:v>OK</x:v>
      </x:c>
    </x:row>
    <x:row r="274">
      <x:c r="A274" s="36" t="n">
        <x:v>46225</x:v>
      </x:c>
      <x:c r="B274" t="str">
        <x:v>Šakotis</x:v>
      </x:c>
      <x:c r="C274" t="str">
        <x:v>L306</x:v>
      </x:c>
      <x:c r="D274" t="str">
        <x:v>Ciberžolė</x:v>
      </x:c>
      <x:c r="E274" s="38" t="n">
        <x:v>0.906492748</x:v>
      </x:c>
      <x:c r="F274" t="str">
        <x:v>Cib0630</x:v>
      </x:c>
      <x:c r="G274" s="36" t="n">
        <x:v>46573</x:v>
      </x:c>
      <x:c r="H274" s="38" t="n">
        <x:v>0.906492748</x:v>
      </x:c>
      <x:c r="I274"/>
      <x:c r="J274" s="36"/>
      <x:c r="K274" s="38"/>
      <x:c r="L274"/>
      <x:c r="M274" s="36"/>
      <x:c r="N274" s="38"/>
      <x:c r="O274" s="38" t="n">
        <x:v>0.906492748</x:v>
      </x:c>
      <x:c r="P274" s="38" t="n">
        <x:v>0</x:v>
      </x:c>
      <x:c r="Q274" t="str">
        <x:v>OK</x:v>
      </x:c>
    </x:row>
    <x:row r="275">
      <x:c r="A275" s="36" t="n">
        <x:v>46225</x:v>
      </x:c>
      <x:c r="B275" t="str">
        <x:v>Šakotis</x:v>
      </x:c>
      <x:c r="C275" t="str">
        <x:v>L306</x:v>
      </x:c>
      <x:c r="D275" t="str">
        <x:v>Vanduo</x:v>
      </x:c>
      <x:c r="E275" s="38" t="n">
        <x:v>12.94761202</x:v>
      </x:c>
      <x:c r="F275" t="str">
        <x:v>Netaikoma</x:v>
      </x:c>
      <x:c r="G275" s="36"/>
      <x:c r="H275" s="38" t="n">
        <x:v>12.94761202</x:v>
      </x:c>
      <x:c r="I275"/>
      <x:c r="J275" s="36"/>
      <x:c r="K275" s="38"/>
      <x:c r="L275"/>
      <x:c r="M275" s="36"/>
      <x:c r="N275" s="38"/>
      <x:c r="O275" s="38" t="n">
        <x:v>12.94761202</x:v>
      </x:c>
      <x:c r="P275" s="38" t="n">
        <x:v>0</x:v>
      </x:c>
      <x:c r="Q275" t="str">
        <x:v>OK</x:v>
      </x:c>
    </x:row>
    <x:row r="276">
      <x:c r="A276" s="36" t="n">
        <x:v>46225</x:v>
      </x:c>
      <x:c r="B276" t="str">
        <x:v>Trapus šakotis</x:v>
      </x:c>
      <x:c r="C276" t="str">
        <x:v>L306</x:v>
      </x:c>
      <x:c r="D276" t="str">
        <x:v>Miltai</x:v>
      </x:c>
      <x:c r="E276" s="38" t="n">
        <x:v>119.99998079999999</x:v>
      </x:c>
      <x:c r="F276" t="str">
        <x:v>Mil0708</x:v>
      </x:c>
      <x:c r="G276" s="36" t="n">
        <x:v>46536</x:v>
      </x:c>
      <x:c r="H276" s="38" t="n">
        <x:v>119.99998079999999</x:v>
      </x:c>
      <x:c r="I276"/>
      <x:c r="J276" s="36"/>
      <x:c r="K276" s="38"/>
      <x:c r="L276"/>
      <x:c r="M276" s="36"/>
      <x:c r="N276" s="38"/>
      <x:c r="O276" s="38" t="n">
        <x:v>119.99998079999999</x:v>
      </x:c>
      <x:c r="P276" s="38" t="n">
        <x:v>0</x:v>
      </x:c>
      <x:c r="Q276" t="str">
        <x:v>OK</x:v>
      </x:c>
    </x:row>
    <x:row r="277">
      <x:c r="A277" s="36" t="n">
        <x:v>46225</x:v>
      </x:c>
      <x:c r="B277" t="str">
        <x:v>Trapus šakotis</x:v>
      </x:c>
      <x:c r="C277" t="str">
        <x:v>L306</x:v>
      </x:c>
      <x:c r="D277" t="str">
        <x:v>Grietinės mišinys</x:v>
      </x:c>
      <x:c r="E277" s="38" t="n">
        <x:v>86.39999087999999</x:v>
      </x:c>
      <x:c r="F277" t="str">
        <x:v>Gr0720</x:v>
      </x:c>
      <x:c r="G277" s="36" t="n">
        <x:v>46234</x:v>
      </x:c>
      <x:c r="H277" s="38" t="n">
        <x:v>86.39999087999999</x:v>
      </x:c>
      <x:c r="I277"/>
      <x:c r="J277" s="36"/>
      <x:c r="K277" s="38"/>
      <x:c r="L277"/>
      <x:c r="M277" s="36"/>
      <x:c r="N277" s="38"/>
      <x:c r="O277" s="38" t="n">
        <x:v>86.39999087999999</x:v>
      </x:c>
      <x:c r="P277" s="38" t="n">
        <x:v>0</x:v>
      </x:c>
      <x:c r="Q277" t="str">
        <x:v>OK</x:v>
      </x:c>
    </x:row>
    <x:row r="278">
      <x:c r="A278" s="36" t="n">
        <x:v>46225</x:v>
      </x:c>
      <x:c r="B278" t="str">
        <x:v>Trapus šakotis</x:v>
      </x:c>
      <x:c r="C278" t="str">
        <x:v>L306</x:v>
      </x:c>
      <x:c r="D278" t="str">
        <x:v>Kiaušiniai</x:v>
      </x:c>
      <x:c r="E278" s="38" t="n">
        <x:v>119.99998079999999</x:v>
      </x:c>
      <x:c r="F278" t="str">
        <x:v>K0713</x:v>
      </x:c>
      <x:c r="G278" s="36" t="n">
        <x:v>46237</x:v>
      </x:c>
      <x:c r="H278" s="38" t="n">
        <x:v>119.99998079999999</x:v>
      </x:c>
      <x:c r="I278"/>
      <x:c r="J278" s="36"/>
      <x:c r="K278" s="38"/>
      <x:c r="L278"/>
      <x:c r="M278" s="36"/>
      <x:c r="N278" s="38"/>
      <x:c r="O278" s="38" t="n">
        <x:v>119.99998079999999</x:v>
      </x:c>
      <x:c r="P278" s="38" t="n">
        <x:v>0</x:v>
      </x:c>
      <x:c r="Q278" t="str">
        <x:v>OK</x:v>
      </x:c>
    </x:row>
    <x:row r="279">
      <x:c r="A279" s="36" t="n">
        <x:v>46225</x:v>
      </x:c>
      <x:c r="B279" t="str">
        <x:v>Trapus šakotis</x:v>
      </x:c>
      <x:c r="C279" t="str">
        <x:v>L306</x:v>
      </x:c>
      <x:c r="D279" t="str">
        <x:v>Cukrus</x:v>
      </x:c>
      <x:c r="E279" s="38" t="n">
        <x:v>71.99998848</x:v>
      </x:c>
      <x:c r="F279" t="str">
        <x:v>Cuk0701</x:v>
      </x:c>
      <x:c r="G279" s="36" t="n">
        <x:v>46388</x:v>
      </x:c>
      <x:c r="H279" s="38" t="n">
        <x:v>71.99998848</x:v>
      </x:c>
      <x:c r="I279"/>
      <x:c r="J279" s="36"/>
      <x:c r="K279" s="38"/>
      <x:c r="L279"/>
      <x:c r="M279" s="36"/>
      <x:c r="N279" s="38"/>
      <x:c r="O279" s="38" t="n">
        <x:v>71.99998848</x:v>
      </x:c>
      <x:c r="P279" s="38" t="n">
        <x:v>0</x:v>
      </x:c>
      <x:c r="Q279" t="str">
        <x:v>OK</x:v>
      </x:c>
    </x:row>
    <x:row r="280">
      <x:c r="A280" s="36" t="n">
        <x:v>46225</x:v>
      </x:c>
      <x:c r="B280" t="str">
        <x:v>Trapus šakotis</x:v>
      </x:c>
      <x:c r="C280" t="str">
        <x:v>L306</x:v>
      </x:c>
      <x:c r="D280" t="str">
        <x:v>Margarinas trapiam "IEVA"</x:v>
      </x:c>
      <x:c r="E280" s="38" t="n">
        <x:v>84.9598848</x:v>
      </x:c>
      <x:c r="F280" t="str">
        <x:v>MarI0702</x:v>
      </x:c>
      <x:c r="G280" s="36" t="n">
        <x:v>46373</x:v>
      </x:c>
      <x:c r="H280" s="38" t="n">
        <x:v>84.9598848</x:v>
      </x:c>
      <x:c r="I280"/>
      <x:c r="J280" s="36"/>
      <x:c r="K280" s="38"/>
      <x:c r="L280"/>
      <x:c r="M280" s="36"/>
      <x:c r="N280" s="38"/>
      <x:c r="O280" s="38" t="n">
        <x:v>84.9598848</x:v>
      </x:c>
      <x:c r="P280" s="38" t="n">
        <x:v>0</x:v>
      </x:c>
      <x:c r="Q280" t="str">
        <x:v>OK</x:v>
      </x:c>
    </x:row>
    <x:row r="281">
      <x:c r="A281" s="36" t="n">
        <x:v>46225</x:v>
      </x:c>
      <x:c r="B281" t="str">
        <x:v>Trapus šakotis</x:v>
      </x:c>
      <x:c r="C281" t="str">
        <x:v>L306</x:v>
      </x:c>
      <x:c r="D281"/>
      <x:c r="E281" s="38"/>
      <x:c r="F281"/>
      <x:c r="G281" s="36"/>
      <x:c r="H281" s="38"/>
      <x:c r="I281"/>
      <x:c r="J281" s="36"/>
      <x:c r="K281" s="38"/>
      <x:c r="L281"/>
      <x:c r="M281" s="36"/>
      <x:c r="N281" s="38"/>
      <x:c r="O281" s="38"/>
      <x:c r="P281" s="38"/>
      <x:c r="Q281"/>
    </x:row>
    <x:row r="282">
      <x:c r="A282" s="36" t="n">
        <x:v>46225</x:v>
      </x:c>
      <x:c r="B282" t="str">
        <x:v>Trapus šakotis</x:v>
      </x:c>
      <x:c r="C282" t="str">
        <x:v>L306</x:v>
      </x:c>
      <x:c r="D282"/>
      <x:c r="E282" s="38"/>
      <x:c r="F282"/>
      <x:c r="G282" s="36"/>
      <x:c r="H282" s="38"/>
      <x:c r="I282"/>
      <x:c r="J282" s="36"/>
      <x:c r="K282" s="38"/>
      <x:c r="L282"/>
      <x:c r="M282" s="36"/>
      <x:c r="N282" s="38"/>
      <x:c r="O282" s="38"/>
      <x:c r="P282" s="38"/>
      <x:c r="Q282"/>
    </x:row>
    <x:row r="283">
      <x:c r="A283" s="36" t="n">
        <x:v>46225</x:v>
      </x:c>
      <x:c r="B283" t="str">
        <x:v>Trapus šakotis</x:v>
      </x:c>
      <x:c r="C283" t="str">
        <x:v>L306</x:v>
      </x:c>
      <x:c r="D283"/>
      <x:c r="E283" s="38"/>
      <x:c r="F283"/>
      <x:c r="G283" s="36"/>
      <x:c r="H283" s="38"/>
      <x:c r="I283"/>
      <x:c r="J283" s="36"/>
      <x:c r="K283" s="38"/>
      <x:c r="L283"/>
      <x:c r="M283" s="36"/>
      <x:c r="N283" s="38"/>
      <x:c r="O283" s="38"/>
      <x:c r="P283" s="38"/>
      <x:c r="Q283"/>
    </x:row>
    <x:row r="284">
      <x:c r="A284" s="36" t="n">
        <x:v>46226</x:v>
      </x:c>
      <x:c r="B284" t="str">
        <x:v>Šakotis</x:v>
      </x:c>
      <x:c r="C284" t="str">
        <x:v>L306</x:v>
      </x:c>
      <x:c r="D284" t="str">
        <x:v>Miltai</x:v>
      </x:c>
      <x:c r="E284" s="38" t="n">
        <x:v>87.99998592</x:v>
      </x:c>
      <x:c r="F284" t="str">
        <x:v>Mil0708</x:v>
      </x:c>
      <x:c r="G284" s="36" t="n">
        <x:v>46536</x:v>
      </x:c>
      <x:c r="H284" s="38" t="n">
        <x:v>36.108549487999426</x:v>
      </x:c>
      <x:c r="I284" t="str">
        <x:v>Mil0720</x:v>
      </x:c>
      <x:c r="J284" s="36" t="n">
        <x:v>46550</x:v>
      </x:c>
      <x:c r="K284" s="38" t="n">
        <x:v>51.891436432000575</x:v>
      </x:c>
      <x:c r="L284"/>
      <x:c r="M284" s="36"/>
      <x:c r="N284" s="38"/>
      <x:c r="O284" s="38" t="n">
        <x:v>87.99998592</x:v>
      </x:c>
      <x:c r="P284" s="38" t="n">
        <x:v>0</x:v>
      </x:c>
      <x:c r="Q284" t="str">
        <x:v>OK</x:v>
      </x:c>
    </x:row>
    <x:row r="285">
      <x:c r="A285" s="36" t="n">
        <x:v>46226</x:v>
      </x:c>
      <x:c r="B285" t="str">
        <x:v>Šakotis</x:v>
      </x:c>
      <x:c r="C285" t="str">
        <x:v>L306</x:v>
      </x:c>
      <x:c r="D285" t="str">
        <x:v>Pienas</x:v>
      </x:c>
      <x:c r="E285" s="38" t="n">
        <x:v>32.999994720000004</x:v>
      </x:c>
      <x:c r="F285" t="str">
        <x:v>P0720</x:v>
      </x:c>
      <x:c r="G285" s="36" t="n">
        <x:v>46227</x:v>
      </x:c>
      <x:c r="H285" s="38" t="n">
        <x:v>32.999994720000004</x:v>
      </x:c>
      <x:c r="I285"/>
      <x:c r="J285" s="36"/>
      <x:c r="K285" s="38"/>
      <x:c r="L285"/>
      <x:c r="M285" s="36"/>
      <x:c r="N285" s="38"/>
      <x:c r="O285" s="38" t="n">
        <x:v>32.999994720000004</x:v>
      </x:c>
      <x:c r="P285" s="38" t="n">
        <x:v>0</x:v>
      </x:c>
      <x:c r="Q285" t="str">
        <x:v>OK</x:v>
      </x:c>
    </x:row>
    <x:row r="286">
      <x:c r="A286" s="36" t="n">
        <x:v>46226</x:v>
      </x:c>
      <x:c r="B286" t="str">
        <x:v>Šakotis</x:v>
      </x:c>
      <x:c r="C286" t="str">
        <x:v>L306</x:v>
      </x:c>
      <x:c r="D286" t="str">
        <x:v>Kiaušiniai</x:v>
      </x:c>
      <x:c r="E286" s="38" t="n">
        <x:v>120.99989439999999</x:v>
      </x:c>
      <x:c r="F286" t="str">
        <x:v>K0713</x:v>
      </x:c>
      <x:c r="G286" s="36" t="n">
        <x:v>46237</x:v>
      </x:c>
      <x:c r="H286" s="38" t="n">
        <x:v>120.99989439999999</x:v>
      </x:c>
      <x:c r="I286"/>
      <x:c r="J286" s="36"/>
      <x:c r="K286" s="38"/>
      <x:c r="L286"/>
      <x:c r="M286" s="36"/>
      <x:c r="N286" s="38"/>
      <x:c r="O286" s="38" t="n">
        <x:v>120.99989439999999</x:v>
      </x:c>
      <x:c r="P286" s="38" t="n">
        <x:v>0</x:v>
      </x:c>
      <x:c r="Q286" t="str">
        <x:v>OK</x:v>
      </x:c>
    </x:row>
    <x:row r="287">
      <x:c r="A287" s="36" t="n">
        <x:v>46226</x:v>
      </x:c>
      <x:c r="B287" t="str">
        <x:v>Šakotis</x:v>
      </x:c>
      <x:c r="C287" t="str">
        <x:v>L306</x:v>
      </x:c>
      <x:c r="D287" t="str">
        <x:v>Cukrus</x:v>
      </x:c>
      <x:c r="E287" s="38" t="n">
        <x:v>65.99998944000001</x:v>
      </x:c>
      <x:c r="F287" t="str">
        <x:v>Cuk0701</x:v>
      </x:c>
      <x:c r="G287" s="36" t="n">
        <x:v>46388</x:v>
      </x:c>
      <x:c r="H287" s="38" t="n">
        <x:v>65.99998944000001</x:v>
      </x:c>
      <x:c r="I287"/>
      <x:c r="J287" s="36"/>
      <x:c r="K287" s="38"/>
      <x:c r="L287"/>
      <x:c r="M287" s="36"/>
      <x:c r="N287" s="38"/>
      <x:c r="O287" s="38" t="n">
        <x:v>65.99998944000001</x:v>
      </x:c>
      <x:c r="P287" s="38" t="n">
        <x:v>0</x:v>
      </x:c>
      <x:c r="Q287" t="str">
        <x:v>OK</x:v>
      </x:c>
    </x:row>
    <x:row r="288">
      <x:c r="A288" s="36" t="n">
        <x:v>46226</x:v>
      </x:c>
      <x:c r="B288" t="str">
        <x:v>Šakotis</x:v>
      </x:c>
      <x:c r="C288" t="str">
        <x:v>L306</x:v>
      </x:c>
      <x:c r="D288" t="str">
        <x:v>Margarinas Šakočiui "Alvas"</x:v>
      </x:c>
      <x:c r="E288" s="38" t="n">
        <x:v>65.99998944000001</x:v>
      </x:c>
      <x:c r="F288" t="str">
        <x:v>MarA0630</x:v>
      </x:c>
      <x:c r="G288" s="36" t="n">
        <x:v>46306</x:v>
      </x:c>
      <x:c r="H288" s="38" t="n">
        <x:v>65.99998944000001</x:v>
      </x:c>
      <x:c r="I288"/>
      <x:c r="J288" s="36"/>
      <x:c r="K288" s="38"/>
      <x:c r="L288"/>
      <x:c r="M288" s="36"/>
      <x:c r="N288" s="38"/>
      <x:c r="O288" s="38" t="n">
        <x:v>65.99998944000001</x:v>
      </x:c>
      <x:c r="P288" s="38" t="n">
        <x:v>0</x:v>
      </x:c>
      <x:c r="Q288" t="str">
        <x:v>OK</x:v>
      </x:c>
    </x:row>
    <x:row r="289">
      <x:c r="A289" s="36" t="n">
        <x:v>46226</x:v>
      </x:c>
      <x:c r="B289" t="str">
        <x:v>Šakotis</x:v>
      </x:c>
      <x:c r="C289" t="str">
        <x:v>L306</x:v>
      </x:c>
      <x:c r="D289" t="str">
        <x:v>Kvapnioji medžiaga</x:v>
      </x:c>
      <x:c r="E289" s="38" t="n">
        <x:v>0.21999824</x:v>
      </x:c>
      <x:c r="F289" t="str">
        <x:v>Kvp0630</x:v>
      </x:c>
      <x:c r="G289" s="36" t="n">
        <x:v>46388</x:v>
      </x:c>
      <x:c r="H289" s="38" t="n">
        <x:v>0.21999824</x:v>
      </x:c>
      <x:c r="I289"/>
      <x:c r="J289" s="36"/>
      <x:c r="K289" s="38"/>
      <x:c r="L289"/>
      <x:c r="M289" s="36"/>
      <x:c r="N289" s="38"/>
      <x:c r="O289" s="38" t="n">
        <x:v>0.21999824</x:v>
      </x:c>
      <x:c r="P289" s="38" t="n">
        <x:v>0</x:v>
      </x:c>
      <x:c r="Q289" t="str">
        <x:v>OK</x:v>
      </x:c>
    </x:row>
    <x:row r="290">
      <x:c r="A290" s="36" t="n">
        <x:v>46226</x:v>
      </x:c>
      <x:c r="B290" t="str">
        <x:v>Šakotis</x:v>
      </x:c>
      <x:c r="C290" t="str">
        <x:v>L306</x:v>
      </x:c>
      <x:c r="D290" t="str">
        <x:v>Ciberžolė</x:v>
      </x:c>
      <x:c r="E290" s="38" t="n">
        <x:v>0.76999384</x:v>
      </x:c>
      <x:c r="F290" t="str">
        <x:v>Cib0630</x:v>
      </x:c>
      <x:c r="G290" s="36" t="n">
        <x:v>46573</x:v>
      </x:c>
      <x:c r="H290" s="38" t="n">
        <x:v>0.76999384</x:v>
      </x:c>
      <x:c r="I290"/>
      <x:c r="J290" s="36"/>
      <x:c r="K290" s="38"/>
      <x:c r="L290"/>
      <x:c r="M290" s="36"/>
      <x:c r="N290" s="38"/>
      <x:c r="O290" s="38" t="n">
        <x:v>0.76999384</x:v>
      </x:c>
      <x:c r="P290" s="38" t="n">
        <x:v>0</x:v>
      </x:c>
      <x:c r="Q290" t="str">
        <x:v>OK</x:v>
      </x:c>
    </x:row>
    <x:row r="291">
      <x:c r="A291" s="36" t="n">
        <x:v>46226</x:v>
      </x:c>
      <x:c r="B291" t="str">
        <x:v>Šakotis</x:v>
      </x:c>
      <x:c r="C291" t="str">
        <x:v>L306</x:v>
      </x:c>
      <x:c r="D291" t="str">
        <x:v>Vanduo</x:v>
      </x:c>
      <x:c r="E291" s="38" t="n">
        <x:v>10.9979716</x:v>
      </x:c>
      <x:c r="F291" t="str">
        <x:v>Netaikoma</x:v>
      </x:c>
      <x:c r="G291" s="36"/>
      <x:c r="H291" s="38" t="n">
        <x:v>10.9979716</x:v>
      </x:c>
      <x:c r="I291"/>
      <x:c r="J291" s="36"/>
      <x:c r="K291" s="38"/>
      <x:c r="L291"/>
      <x:c r="M291" s="36"/>
      <x:c r="N291" s="38"/>
      <x:c r="O291" s="38" t="n">
        <x:v>10.9979716</x:v>
      </x:c>
      <x:c r="P291" s="38" t="n">
        <x:v>0</x:v>
      </x:c>
      <x:c r="Q291" t="str">
        <x:v>OK</x:v>
      </x:c>
    </x:row>
    <x:row r="292">
      <x:c r="A292" s="36" t="n">
        <x:v>46226</x:v>
      </x:c>
      <x:c r="B292" t="str">
        <x:v>Trapus šakotis</x:v>
      </x:c>
      <x:c r="C292" t="str">
        <x:v>L306</x:v>
      </x:c>
      <x:c r="D292" t="str">
        <x:v>Miltai</x:v>
      </x:c>
      <x:c r="E292" s="38" t="n">
        <x:v>119.99998079999999</x:v>
      </x:c>
      <x:c r="F292" t="str">
        <x:v>Mil0720</x:v>
      </x:c>
      <x:c r="G292" s="36" t="n">
        <x:v>46550</x:v>
      </x:c>
      <x:c r="H292" s="38" t="n">
        <x:v>119.99998079999999</x:v>
      </x:c>
      <x:c r="I292"/>
      <x:c r="J292" s="36"/>
      <x:c r="K292" s="38"/>
      <x:c r="L292"/>
      <x:c r="M292" s="36"/>
      <x:c r="N292" s="38"/>
      <x:c r="O292" s="38" t="n">
        <x:v>119.99998079999999</x:v>
      </x:c>
      <x:c r="P292" s="38" t="n">
        <x:v>0</x:v>
      </x:c>
      <x:c r="Q292" t="str">
        <x:v>OK</x:v>
      </x:c>
    </x:row>
    <x:row r="293">
      <x:c r="A293" s="36" t="n">
        <x:v>46226</x:v>
      </x:c>
      <x:c r="B293" t="str">
        <x:v>Trapus šakotis</x:v>
      </x:c>
      <x:c r="C293" t="str">
        <x:v>L306</x:v>
      </x:c>
      <x:c r="D293" t="str">
        <x:v>Grietinės mišinys</x:v>
      </x:c>
      <x:c r="E293" s="38" t="n">
        <x:v>86.39999087999999</x:v>
      </x:c>
      <x:c r="F293" t="str">
        <x:v>Gr0720</x:v>
      </x:c>
      <x:c r="G293" s="36" t="n">
        <x:v>46234</x:v>
      </x:c>
      <x:c r="H293" s="38" t="n">
        <x:v>11.840075278</x:v>
      </x:c>
      <x:c r="I293"/>
      <x:c r="J293" s="36"/>
      <x:c r="K293" s="38"/>
      <x:c r="L293"/>
      <x:c r="M293" s="36"/>
      <x:c r="N293" s="38"/>
      <x:c r="O293" s="38" t="n">
        <x:v>11.840075278</x:v>
      </x:c>
      <x:c r="P293" s="38" t="n">
        <x:v>74.55991560199999</x:v>
      </x:c>
      <x:c r="Q293" t="str">
        <x:v>TRŪKSTA / NĖRA GALIOJANČIOS PARTIJOS</x:v>
      </x:c>
    </x:row>
    <x:row r="294">
      <x:c r="A294" s="36" t="n">
        <x:v>46226</x:v>
      </x:c>
      <x:c r="B294" t="str">
        <x:v>Trapus šakotis</x:v>
      </x:c>
      <x:c r="C294" t="str">
        <x:v>L306</x:v>
      </x:c>
      <x:c r="D294" t="str">
        <x:v>Kiaušiniai</x:v>
      </x:c>
      <x:c r="E294" s="38" t="n">
        <x:v>119.99998079999999</x:v>
      </x:c>
      <x:c r="F294" t="str">
        <x:v>K0713</x:v>
      </x:c>
      <x:c r="G294" s="36" t="n">
        <x:v>46237</x:v>
      </x:c>
      <x:c r="H294" s="38" t="n">
        <x:v>119.99998079999999</x:v>
      </x:c>
      <x:c r="I294"/>
      <x:c r="J294" s="36"/>
      <x:c r="K294" s="38"/>
      <x:c r="L294"/>
      <x:c r="M294" s="36"/>
      <x:c r="N294" s="38"/>
      <x:c r="O294" s="38" t="n">
        <x:v>119.99998079999999</x:v>
      </x:c>
      <x:c r="P294" s="38" t="n">
        <x:v>0</x:v>
      </x:c>
      <x:c r="Q294" t="str">
        <x:v>OK</x:v>
      </x:c>
    </x:row>
    <x:row r="295">
      <x:c r="A295" s="36" t="n">
        <x:v>46226</x:v>
      </x:c>
      <x:c r="B295" t="str">
        <x:v>Trapus šakotis</x:v>
      </x:c>
      <x:c r="C295" t="str">
        <x:v>L306</x:v>
      </x:c>
      <x:c r="D295" t="str">
        <x:v>Cukrus</x:v>
      </x:c>
      <x:c r="E295" s="38" t="n">
        <x:v>71.99998848</x:v>
      </x:c>
      <x:c r="F295" t="str">
        <x:v>Cuk0701</x:v>
      </x:c>
      <x:c r="G295" s="36" t="n">
        <x:v>46388</x:v>
      </x:c>
      <x:c r="H295" s="38" t="n">
        <x:v>71.99998848</x:v>
      </x:c>
      <x:c r="I295"/>
      <x:c r="J295" s="36"/>
      <x:c r="K295" s="38"/>
      <x:c r="L295"/>
      <x:c r="M295" s="36"/>
      <x:c r="N295" s="38"/>
      <x:c r="O295" s="38" t="n">
        <x:v>71.99998848</x:v>
      </x:c>
      <x:c r="P295" s="38" t="n">
        <x:v>0</x:v>
      </x:c>
      <x:c r="Q295" t="str">
        <x:v>OK</x:v>
      </x:c>
    </x:row>
    <x:row r="296">
      <x:c r="A296" s="36" t="n">
        <x:v>46226</x:v>
      </x:c>
      <x:c r="B296" t="str">
        <x:v>Trapus šakotis</x:v>
      </x:c>
      <x:c r="C296" t="str">
        <x:v>L306</x:v>
      </x:c>
      <x:c r="D296" t="str">
        <x:v>Margarinas trapiam "IEVA"</x:v>
      </x:c>
      <x:c r="E296" s="38" t="n">
        <x:v>84.9598848</x:v>
      </x:c>
      <x:c r="F296" t="str">
        <x:v>MarI0702</x:v>
      </x:c>
      <x:c r="G296" s="36" t="n">
        <x:v>46373</x:v>
      </x:c>
      <x:c r="H296" s="38" t="n">
        <x:v>84.9598848</x:v>
      </x:c>
      <x:c r="I296"/>
      <x:c r="J296" s="36"/>
      <x:c r="K296" s="38"/>
      <x:c r="L296"/>
      <x:c r="M296" s="36"/>
      <x:c r="N296" s="38"/>
      <x:c r="O296" s="38" t="n">
        <x:v>84.9598848</x:v>
      </x:c>
      <x:c r="P296" s="38" t="n">
        <x:v>0</x:v>
      </x:c>
      <x:c r="Q296" t="str">
        <x:v>OK</x:v>
      </x:c>
    </x:row>
    <x:row r="297">
      <x:c r="A297" s="36" t="n">
        <x:v>46226</x:v>
      </x:c>
      <x:c r="B297" t="str">
        <x:v>Trapus šakotis</x:v>
      </x:c>
      <x:c r="C297" t="str">
        <x:v>L306</x:v>
      </x:c>
      <x:c r="D297"/>
      <x:c r="E297" s="38"/>
      <x:c r="F297"/>
      <x:c r="G297" s="36"/>
      <x:c r="H297" s="38"/>
      <x:c r="I297"/>
      <x:c r="J297" s="36"/>
      <x:c r="K297" s="38"/>
      <x:c r="L297"/>
      <x:c r="M297" s="36"/>
      <x:c r="N297" s="38"/>
      <x:c r="O297" s="38"/>
      <x:c r="P297" s="38"/>
      <x:c r="Q297"/>
    </x:row>
    <x:row r="298">
      <x:c r="A298" s="36" t="n">
        <x:v>46226</x:v>
      </x:c>
      <x:c r="B298" t="str">
        <x:v>Trapus šakotis</x:v>
      </x:c>
      <x:c r="C298" t="str">
        <x:v>L306</x:v>
      </x:c>
      <x:c r="D298"/>
      <x:c r="E298" s="38"/>
      <x:c r="F298"/>
      <x:c r="G298" s="36"/>
      <x:c r="H298" s="38"/>
      <x:c r="I298"/>
      <x:c r="J298" s="36"/>
      <x:c r="K298" s="38"/>
      <x:c r="L298"/>
      <x:c r="M298" s="36"/>
      <x:c r="N298" s="38"/>
      <x:c r="O298" s="38"/>
      <x:c r="P298" s="38"/>
      <x:c r="Q298"/>
    </x:row>
    <x:row r="299">
      <x:c r="A299" s="36" t="n">
        <x:v>46226</x:v>
      </x:c>
      <x:c r="B299" t="str">
        <x:v>Trapus šakotis</x:v>
      </x:c>
      <x:c r="C299" t="str">
        <x:v>L306</x:v>
      </x:c>
      <x:c r="D299"/>
      <x:c r="E299" s="38"/>
      <x:c r="F299"/>
      <x:c r="G299" s="36"/>
      <x:c r="H299" s="38"/>
      <x:c r="I299"/>
      <x:c r="J299" s="36"/>
      <x:c r="K299" s="38"/>
      <x:c r="L299"/>
      <x:c r="M299" s="36"/>
      <x:c r="N299" s="38"/>
      <x:c r="O299" s="38"/>
      <x:c r="P299" s="38"/>
      <x:c r="Q299"/>
    </x:row>
    <x:row r="300">
      <x:c r="A300" s="36" t="n">
        <x:v>46227</x:v>
      </x:c>
      <x:c r="B300" t="str">
        <x:v>Šakotis</x:v>
      </x:c>
      <x:c r="C300" t="str">
        <x:v>L306</x:v>
      </x:c>
      <x:c r="D300" t="str">
        <x:v>Miltai</x:v>
      </x:c>
      <x:c r="E300" s="38" t="n">
        <x:v>95.19998476800001</x:v>
      </x:c>
      <x:c r="F300" t="str">
        <x:v>Mil0720</x:v>
      </x:c>
      <x:c r="G300" s="36" t="n">
        <x:v>46550</x:v>
      </x:c>
      <x:c r="H300" s="38" t="n">
        <x:v>95.19998476800001</x:v>
      </x:c>
      <x:c r="I300"/>
      <x:c r="J300" s="36"/>
      <x:c r="K300" s="38"/>
      <x:c r="L300"/>
      <x:c r="M300" s="36"/>
      <x:c r="N300" s="38"/>
      <x:c r="O300" s="38" t="n">
        <x:v>95.19998476800001</x:v>
      </x:c>
      <x:c r="P300" s="38" t="n">
        <x:v>0</x:v>
      </x:c>
      <x:c r="Q300" t="str">
        <x:v>OK</x:v>
      </x:c>
    </x:row>
    <x:row r="301">
      <x:c r="A301" s="36" t="n">
        <x:v>46227</x:v>
      </x:c>
      <x:c r="B301" t="str">
        <x:v>Šakotis</x:v>
      </x:c>
      <x:c r="C301" t="str">
        <x:v>L306</x:v>
      </x:c>
      <x:c r="D301" t="str">
        <x:v>Pienas</x:v>
      </x:c>
      <x:c r="E301" s="38" t="n">
        <x:v>35.699994288000006</x:v>
      </x:c>
      <x:c r="F301" t="str">
        <x:v>P0720</x:v>
      </x:c>
      <x:c r="G301" s="36" t="n">
        <x:v>46227</x:v>
      </x:c>
      <x:c r="H301" s="38" t="n">
        <x:v>7.450038807999988</x:v>
      </x:c>
      <x:c r="I301"/>
      <x:c r="J301" s="36"/>
      <x:c r="K301" s="38"/>
      <x:c r="L301"/>
      <x:c r="M301" s="36"/>
      <x:c r="N301" s="38"/>
      <x:c r="O301" s="38" t="n">
        <x:v>7.450038807999988</x:v>
      </x:c>
      <x:c r="P301" s="38" t="n">
        <x:v>28.24995548000002</x:v>
      </x:c>
      <x:c r="Q301" t="str">
        <x:v>TRŪKSTA / NĖRA GALIOJANČIOS PARTIJOS</x:v>
      </x:c>
    </x:row>
    <x:row r="302">
      <x:c r="A302" s="36" t="n">
        <x:v>46227</x:v>
      </x:c>
      <x:c r="B302" t="str">
        <x:v>Šakotis</x:v>
      </x:c>
      <x:c r="C302" t="str">
        <x:v>L306</x:v>
      </x:c>
      <x:c r="D302" t="str">
        <x:v>Kiaušiniai</x:v>
      </x:c>
      <x:c r="E302" s="38" t="n">
        <x:v>130.89988576</x:v>
      </x:c>
      <x:c r="F302" t="str">
        <x:v>K0713</x:v>
      </x:c>
      <x:c r="G302" s="36" t="n">
        <x:v>46237</x:v>
      </x:c>
      <x:c r="H302" s="38" t="n">
        <x:v>130.89988576</x:v>
      </x:c>
      <x:c r="I302"/>
      <x:c r="J302" s="36"/>
      <x:c r="K302" s="38"/>
      <x:c r="L302"/>
      <x:c r="M302" s="36"/>
      <x:c r="N302" s="38"/>
      <x:c r="O302" s="38" t="n">
        <x:v>130.89988576</x:v>
      </x:c>
      <x:c r="P302" s="38" t="n">
        <x:v>0</x:v>
      </x:c>
      <x:c r="Q302" t="str">
        <x:v>OK</x:v>
      </x:c>
    </x:row>
    <x:row r="303">
      <x:c r="A303" s="36" t="n">
        <x:v>46227</x:v>
      </x:c>
      <x:c r="B303" t="str">
        <x:v>Šakotis</x:v>
      </x:c>
      <x:c r="C303" t="str">
        <x:v>L306</x:v>
      </x:c>
      <x:c r="D303" t="str">
        <x:v>Cukrus</x:v>
      </x:c>
      <x:c r="E303" s="38" t="n">
        <x:v>71.39998857600001</x:v>
      </x:c>
      <x:c r="F303" t="str">
        <x:v>Cuk0701</x:v>
      </x:c>
      <x:c r="G303" s="36" t="n">
        <x:v>46388</x:v>
      </x:c>
      <x:c r="H303" s="38" t="n">
        <x:v>39.90640406400007</x:v>
      </x:c>
      <x:c r="I303" t="str">
        <x:v>Cuk0720</x:v>
      </x:c>
      <x:c r="J303" s="36" t="n">
        <x:v>46388</x:v>
      </x:c>
      <x:c r="K303" s="38" t="n">
        <x:v>31.49358451199994</x:v>
      </x:c>
      <x:c r="L303"/>
      <x:c r="M303" s="36"/>
      <x:c r="N303" s="38"/>
      <x:c r="O303" s="38" t="n">
        <x:v>71.39998857600001</x:v>
      </x:c>
      <x:c r="P303" s="38" t="n">
        <x:v>0</x:v>
      </x:c>
      <x:c r="Q303" t="str">
        <x:v>OK</x:v>
      </x:c>
    </x:row>
    <x:row r="304">
      <x:c r="A304" s="36" t="n">
        <x:v>46227</x:v>
      </x:c>
      <x:c r="B304" t="str">
        <x:v>Šakotis</x:v>
      </x:c>
      <x:c r="C304" t="str">
        <x:v>L306</x:v>
      </x:c>
      <x:c r="D304" t="str">
        <x:v>Margarinas Šakočiui "Alvas"</x:v>
      </x:c>
      <x:c r="E304" s="38" t="n">
        <x:v>71.39998857600001</x:v>
      </x:c>
      <x:c r="F304" t="str">
        <x:v>MarA0630</x:v>
      </x:c>
      <x:c r="G304" s="36" t="n">
        <x:v>46306</x:v>
      </x:c>
      <x:c r="H304" s="38" t="n">
        <x:v>71.39998857600001</x:v>
      </x:c>
      <x:c r="I304"/>
      <x:c r="J304" s="36"/>
      <x:c r="K304" s="38"/>
      <x:c r="L304"/>
      <x:c r="M304" s="36"/>
      <x:c r="N304" s="38"/>
      <x:c r="O304" s="38" t="n">
        <x:v>71.39998857600001</x:v>
      </x:c>
      <x:c r="P304" s="38" t="n">
        <x:v>0</x:v>
      </x:c>
      <x:c r="Q304" t="str">
        <x:v>OK</x:v>
      </x:c>
    </x:row>
    <x:row r="305">
      <x:c r="A305" s="36" t="n">
        <x:v>46227</x:v>
      </x:c>
      <x:c r="B305" t="str">
        <x:v>Šakotis</x:v>
      </x:c>
      <x:c r="C305" t="str">
        <x:v>L306</x:v>
      </x:c>
      <x:c r="D305" t="str">
        <x:v>Kvapnioji medžiaga</x:v>
      </x:c>
      <x:c r="E305" s="38" t="n">
        <x:v>0.23799809600000002</x:v>
      </x:c>
      <x:c r="F305" t="str">
        <x:v>Kvp0630</x:v>
      </x:c>
      <x:c r="G305" s="36" t="n">
        <x:v>46388</x:v>
      </x:c>
      <x:c r="H305" s="38" t="n">
        <x:v>0.23799809600000002</x:v>
      </x:c>
      <x:c r="I305"/>
      <x:c r="J305" s="36"/>
      <x:c r="K305" s="38"/>
      <x:c r="L305"/>
      <x:c r="M305" s="36"/>
      <x:c r="N305" s="38"/>
      <x:c r="O305" s="38" t="n">
        <x:v>0.23799809600000002</x:v>
      </x:c>
      <x:c r="P305" s="38" t="n">
        <x:v>0</x:v>
      </x:c>
      <x:c r="Q305" t="str">
        <x:v>OK</x:v>
      </x:c>
    </x:row>
    <x:row r="306">
      <x:c r="A306" s="36" t="n">
        <x:v>46227</x:v>
      </x:c>
      <x:c r="B306" t="str">
        <x:v>Šakotis</x:v>
      </x:c>
      <x:c r="C306" t="str">
        <x:v>L306</x:v>
      </x:c>
      <x:c r="D306" t="str">
        <x:v>Ciberžolė</x:v>
      </x:c>
      <x:c r="E306" s="38" t="n">
        <x:v>0.832993336</x:v>
      </x:c>
      <x:c r="F306" t="str">
        <x:v>Cib0630</x:v>
      </x:c>
      <x:c r="G306" s="36" t="n">
        <x:v>46573</x:v>
      </x:c>
      <x:c r="H306" s="38" t="n">
        <x:v>0.832993336</x:v>
      </x:c>
      <x:c r="I306"/>
      <x:c r="J306" s="36"/>
      <x:c r="K306" s="38"/>
      <x:c r="L306"/>
      <x:c r="M306" s="36"/>
      <x:c r="N306" s="38"/>
      <x:c r="O306" s="38" t="n">
        <x:v>0.832993336</x:v>
      </x:c>
      <x:c r="P306" s="38" t="n">
        <x:v>0</x:v>
      </x:c>
      <x:c r="Q306" t="str">
        <x:v>OK</x:v>
      </x:c>
    </x:row>
    <x:row r="307">
      <x:c r="A307" s="36" t="n">
        <x:v>46227</x:v>
      </x:c>
      <x:c r="B307" t="str">
        <x:v>Šakotis</x:v>
      </x:c>
      <x:c r="C307" t="str">
        <x:v>L306</x:v>
      </x:c>
      <x:c r="D307" t="str">
        <x:v>Vanduo</x:v>
      </x:c>
      <x:c r="E307" s="38" t="n">
        <x:v>11.897805640000001</x:v>
      </x:c>
      <x:c r="F307" t="str">
        <x:v>Netaikoma</x:v>
      </x:c>
      <x:c r="G307" s="36"/>
      <x:c r="H307" s="38" t="n">
        <x:v>11.897805640000001</x:v>
      </x:c>
      <x:c r="I307"/>
      <x:c r="J307" s="36"/>
      <x:c r="K307" s="38"/>
      <x:c r="L307"/>
      <x:c r="M307" s="36"/>
      <x:c r="N307" s="38"/>
      <x:c r="O307" s="38" t="n">
        <x:v>11.897805640000001</x:v>
      </x:c>
      <x:c r="P307" s="38" t="n">
        <x:v>0</x:v>
      </x:c>
      <x:c r="Q307" t="str">
        <x:v>OK</x:v>
      </x:c>
    </x:row>
    <x:row r="308">
      <x:c r="A308" s="36" t="n">
        <x:v>46227</x:v>
      </x:c>
      <x:c r="B308" t="str">
        <x:v>Trapus šakotis</x:v>
      </x:c>
      <x:c r="C308" t="str">
        <x:v>L306</x:v>
      </x:c>
      <x:c r="D308" t="str">
        <x:v>Miltai</x:v>
      </x:c>
      <x:c r="E308" s="38" t="n">
        <x:v>119.99998079999999</x:v>
      </x:c>
      <x:c r="F308" t="str">
        <x:v>Mil0720</x:v>
      </x:c>
      <x:c r="G308" s="36" t="n">
        <x:v>46550</x:v>
      </x:c>
      <x:c r="H308" s="38" t="n">
        <x:v>119.99998079999999</x:v>
      </x:c>
      <x:c r="I308"/>
      <x:c r="J308" s="36"/>
      <x:c r="K308" s="38"/>
      <x:c r="L308"/>
      <x:c r="M308" s="36"/>
      <x:c r="N308" s="38"/>
      <x:c r="O308" s="38" t="n">
        <x:v>119.99998079999999</x:v>
      </x:c>
      <x:c r="P308" s="38" t="n">
        <x:v>0</x:v>
      </x:c>
      <x:c r="Q308" t="str">
        <x:v>OK</x:v>
      </x:c>
    </x:row>
    <x:row r="309">
      <x:c r="A309" s="36" t="n">
        <x:v>46227</x:v>
      </x:c>
      <x:c r="B309" t="str">
        <x:v>Trapus šakotis</x:v>
      </x:c>
      <x:c r="C309" t="str">
        <x:v>L306</x:v>
      </x:c>
      <x:c r="D309" t="str">
        <x:v>Grietinės mišinys</x:v>
      </x:c>
      <x:c r="E309" s="38" t="n">
        <x:v>86.39999087999999</x:v>
      </x:c>
      <x:c r="F309" t="str">
        <x:v>Gr0724</x:v>
      </x:c>
      <x:c r="G309" s="36" t="n">
        <x:v>46237</x:v>
      </x:c>
      <x:c r="H309" s="38" t="n">
        <x:v>86.39999087999999</x:v>
      </x:c>
      <x:c r="I309"/>
      <x:c r="J309" s="36"/>
      <x:c r="K309" s="38"/>
      <x:c r="L309"/>
      <x:c r="M309" s="36"/>
      <x:c r="N309" s="38"/>
      <x:c r="O309" s="38" t="n">
        <x:v>86.39999087999999</x:v>
      </x:c>
      <x:c r="P309" s="38" t="n">
        <x:v>0</x:v>
      </x:c>
      <x:c r="Q309" t="str">
        <x:v>OK</x:v>
      </x:c>
    </x:row>
    <x:row r="310">
      <x:c r="A310" s="36" t="n">
        <x:v>46227</x:v>
      </x:c>
      <x:c r="B310" t="str">
        <x:v>Trapus šakotis</x:v>
      </x:c>
      <x:c r="C310" t="str">
        <x:v>L306</x:v>
      </x:c>
      <x:c r="D310" t="str">
        <x:v>Kiaušiniai</x:v>
      </x:c>
      <x:c r="E310" s="38" t="n">
        <x:v>119.99998079999999</x:v>
      </x:c>
      <x:c r="F310" t="str">
        <x:v>K0713</x:v>
      </x:c>
      <x:c r="G310" s="36" t="n">
        <x:v>46237</x:v>
      </x:c>
      <x:c r="H310" s="38" t="n">
        <x:v>119.99998079999999</x:v>
      </x:c>
      <x:c r="I310"/>
      <x:c r="J310" s="36"/>
      <x:c r="K310" s="38"/>
      <x:c r="L310"/>
      <x:c r="M310" s="36"/>
      <x:c r="N310" s="38"/>
      <x:c r="O310" s="38" t="n">
        <x:v>119.99998079999999</x:v>
      </x:c>
      <x:c r="P310" s="38" t="n">
        <x:v>0</x:v>
      </x:c>
      <x:c r="Q310" t="str">
        <x:v>OK</x:v>
      </x:c>
    </x:row>
    <x:row r="311">
      <x:c r="A311" s="36" t="n">
        <x:v>46227</x:v>
      </x:c>
      <x:c r="B311" t="str">
        <x:v>Trapus šakotis</x:v>
      </x:c>
      <x:c r="C311" t="str">
        <x:v>L306</x:v>
      </x:c>
      <x:c r="D311" t="str">
        <x:v>Cukrus</x:v>
      </x:c>
      <x:c r="E311" s="38" t="n">
        <x:v>71.99998848</x:v>
      </x:c>
      <x:c r="F311" t="str">
        <x:v>Cuk0720</x:v>
      </x:c>
      <x:c r="G311" s="36" t="n">
        <x:v>46388</x:v>
      </x:c>
      <x:c r="H311" s="38" t="n">
        <x:v>71.99998848</x:v>
      </x:c>
      <x:c r="I311"/>
      <x:c r="J311" s="36"/>
      <x:c r="K311" s="38"/>
      <x:c r="L311"/>
      <x:c r="M311" s="36"/>
      <x:c r="N311" s="38"/>
      <x:c r="O311" s="38" t="n">
        <x:v>71.99998848</x:v>
      </x:c>
      <x:c r="P311" s="38" t="n">
        <x:v>0</x:v>
      </x:c>
      <x:c r="Q311" t="str">
        <x:v>OK</x:v>
      </x:c>
    </x:row>
    <x:row r="312">
      <x:c r="A312" s="36" t="n">
        <x:v>46227</x:v>
      </x:c>
      <x:c r="B312" t="str">
        <x:v>Trapus šakotis</x:v>
      </x:c>
      <x:c r="C312" t="str">
        <x:v>L306</x:v>
      </x:c>
      <x:c r="D312" t="str">
        <x:v>Margarinas trapiam "IEVA"</x:v>
      </x:c>
      <x:c r="E312" s="38" t="n">
        <x:v>84.9598848</x:v>
      </x:c>
      <x:c r="F312" t="str">
        <x:v>MarI0702</x:v>
      </x:c>
      <x:c r="G312" s="36" t="n">
        <x:v>46373</x:v>
      </x:c>
      <x:c r="H312" s="38" t="n">
        <x:v>84.9598848</x:v>
      </x:c>
      <x:c r="I312"/>
      <x:c r="J312" s="36"/>
      <x:c r="K312" s="38"/>
      <x:c r="L312"/>
      <x:c r="M312" s="36"/>
      <x:c r="N312" s="38"/>
      <x:c r="O312" s="38" t="n">
        <x:v>84.9598848</x:v>
      </x:c>
      <x:c r="P312" s="38" t="n">
        <x:v>0</x:v>
      </x:c>
      <x:c r="Q312" t="str">
        <x:v>OK</x:v>
      </x:c>
    </x:row>
    <x:row r="313">
      <x:c r="A313" s="36" t="n">
        <x:v>46227</x:v>
      </x:c>
      <x:c r="B313" t="str">
        <x:v>Trapus šakotis</x:v>
      </x:c>
      <x:c r="C313" t="str">
        <x:v>L306</x:v>
      </x:c>
      <x:c r="D313"/>
      <x:c r="E313" s="38"/>
      <x:c r="F313"/>
      <x:c r="G313" s="36"/>
      <x:c r="H313" s="38"/>
      <x:c r="I313"/>
      <x:c r="J313" s="36"/>
      <x:c r="K313" s="38"/>
      <x:c r="L313"/>
      <x:c r="M313" s="36"/>
      <x:c r="N313" s="38"/>
      <x:c r="O313" s="38"/>
      <x:c r="P313" s="38"/>
      <x:c r="Q313"/>
    </x:row>
    <x:row r="314">
      <x:c r="A314" s="36" t="n">
        <x:v>46227</x:v>
      </x:c>
      <x:c r="B314" t="str">
        <x:v>Trapus šakotis</x:v>
      </x:c>
      <x:c r="C314" t="str">
        <x:v>L306</x:v>
      </x:c>
      <x:c r="D314"/>
      <x:c r="E314" s="38"/>
      <x:c r="F314"/>
      <x:c r="G314" s="36"/>
      <x:c r="H314" s="38"/>
      <x:c r="I314"/>
      <x:c r="J314" s="36"/>
      <x:c r="K314" s="38"/>
      <x:c r="L314"/>
      <x:c r="M314" s="36"/>
      <x:c r="N314" s="38"/>
      <x:c r="O314" s="38"/>
      <x:c r="P314" s="38"/>
      <x:c r="Q314"/>
    </x:row>
    <x:row r="315">
      <x:c r="A315" s="36" t="n">
        <x:v>46227</x:v>
      </x:c>
      <x:c r="B315" t="str">
        <x:v>Trapus šakotis</x:v>
      </x:c>
      <x:c r="C315" t="str">
        <x:v>L306</x:v>
      </x:c>
      <x:c r="D315"/>
      <x:c r="E315" s="38"/>
      <x:c r="F315"/>
      <x:c r="G315" s="36"/>
      <x:c r="H315" s="38"/>
      <x:c r="I315"/>
      <x:c r="J315" s="36"/>
      <x:c r="K315" s="38"/>
      <x:c r="L315"/>
      <x:c r="M315" s="36"/>
      <x:c r="N315" s="38"/>
      <x:c r="O315" s="38"/>
      <x:c r="P315" s="38"/>
      <x:c r="Q315"/>
    </x:row>
    <x:row r="316">
      <x:c r="A316" s="36" t="n">
        <x:v>46229</x:v>
      </x:c>
      <x:c r="B316" t="str">
        <x:v>Šakotis</x:v>
      </x:c>
      <x:c r="C316" t="str">
        <x:v>L306</x:v>
      </x:c>
      <x:c r="D316" t="str">
        <x:v>Miltai</x:v>
      </x:c>
      <x:c r="E316" s="38" t="n">
        <x:v>50.399991936</x:v>
      </x:c>
      <x:c r="F316" t="str">
        <x:v>Mil0720</x:v>
      </x:c>
      <x:c r="G316" s="36" t="n">
        <x:v>46550</x:v>
      </x:c>
      <x:c r="H316" s="38" t="n">
        <x:v>50.399991936</x:v>
      </x:c>
      <x:c r="I316"/>
      <x:c r="J316" s="36"/>
      <x:c r="K316" s="38"/>
      <x:c r="L316"/>
      <x:c r="M316" s="36"/>
      <x:c r="N316" s="38"/>
      <x:c r="O316" s="38" t="n">
        <x:v>50.399991936</x:v>
      </x:c>
      <x:c r="P316" s="38" t="n">
        <x:v>0</x:v>
      </x:c>
      <x:c r="Q316" t="str">
        <x:v>OK</x:v>
      </x:c>
    </x:row>
    <x:row r="317">
      <x:c r="A317" s="36" t="n">
        <x:v>46229</x:v>
      </x:c>
      <x:c r="B317" t="str">
        <x:v>Šakotis</x:v>
      </x:c>
      <x:c r="C317" t="str">
        <x:v>L306</x:v>
      </x:c>
      <x:c r="D317" t="str">
        <x:v>Pienas</x:v>
      </x:c>
      <x:c r="E317" s="38" t="n">
        <x:v>18.899996976</x:v>
      </x:c>
      <x:c r="F317"/>
      <x:c r="G317" s="36"/>
      <x:c r="H317" s="38"/>
      <x:c r="I317"/>
      <x:c r="J317" s="36"/>
      <x:c r="K317" s="38"/>
      <x:c r="L317"/>
      <x:c r="M317" s="36"/>
      <x:c r="N317" s="38"/>
      <x:c r="O317" s="38" t="n">
        <x:v>0</x:v>
      </x:c>
      <x:c r="P317" s="38" t="n">
        <x:v>18.899996976</x:v>
      </x:c>
      <x:c r="Q317" t="str">
        <x:v>TRŪKSTA / NĖRA GALIOJANČIOS PARTIJOS</x:v>
      </x:c>
    </x:row>
    <x:row r="318">
      <x:c r="A318" s="36" t="n">
        <x:v>46229</x:v>
      </x:c>
      <x:c r="B318" t="str">
        <x:v>Šakotis</x:v>
      </x:c>
      <x:c r="C318" t="str">
        <x:v>L306</x:v>
      </x:c>
      <x:c r="D318" t="str">
        <x:v>Kiaušiniai</x:v>
      </x:c>
      <x:c r="E318" s="38" t="n">
        <x:v>69.29993952</x:v>
      </x:c>
      <x:c r="F318" t="str">
        <x:v>K0713</x:v>
      </x:c>
      <x:c r="G318" s="36" t="n">
        <x:v>46237</x:v>
      </x:c>
      <x:c r="H318" s="38" t="n">
        <x:v>69.29993952</x:v>
      </x:c>
      <x:c r="I318"/>
      <x:c r="J318" s="36"/>
      <x:c r="K318" s="38"/>
      <x:c r="L318"/>
      <x:c r="M318" s="36"/>
      <x:c r="N318" s="38"/>
      <x:c r="O318" s="38" t="n">
        <x:v>69.29993952</x:v>
      </x:c>
      <x:c r="P318" s="38" t="n">
        <x:v>0</x:v>
      </x:c>
      <x:c r="Q318" t="str">
        <x:v>OK</x:v>
      </x:c>
    </x:row>
    <x:row r="319">
      <x:c r="A319" s="36" t="n">
        <x:v>46229</x:v>
      </x:c>
      <x:c r="B319" t="str">
        <x:v>Šakotis</x:v>
      </x:c>
      <x:c r="C319" t="str">
        <x:v>L306</x:v>
      </x:c>
      <x:c r="D319" t="str">
        <x:v>Cukrus</x:v>
      </x:c>
      <x:c r="E319" s="38" t="n">
        <x:v>37.799993952</x:v>
      </x:c>
      <x:c r="F319" t="str">
        <x:v>Cuk0720</x:v>
      </x:c>
      <x:c r="G319" s="36" t="n">
        <x:v>46388</x:v>
      </x:c>
      <x:c r="H319" s="38" t="n">
        <x:v>37.799993952</x:v>
      </x:c>
      <x:c r="I319"/>
      <x:c r="J319" s="36"/>
      <x:c r="K319" s="38"/>
      <x:c r="L319"/>
      <x:c r="M319" s="36"/>
      <x:c r="N319" s="38"/>
      <x:c r="O319" s="38" t="n">
        <x:v>37.799993952</x:v>
      </x:c>
      <x:c r="P319" s="38" t="n">
        <x:v>0</x:v>
      </x:c>
      <x:c r="Q319" t="str">
        <x:v>OK</x:v>
      </x:c>
    </x:row>
    <x:row r="320">
      <x:c r="A320" s="36" t="n">
        <x:v>46229</x:v>
      </x:c>
      <x:c r="B320" t="str">
        <x:v>Šakotis</x:v>
      </x:c>
      <x:c r="C320" t="str">
        <x:v>L306</x:v>
      </x:c>
      <x:c r="D320" t="str">
        <x:v>Margarinas Šakočiui "Alvas"</x:v>
      </x:c>
      <x:c r="E320" s="38" t="n">
        <x:v>37.799993952</x:v>
      </x:c>
      <x:c r="F320" t="str">
        <x:v>MarA0630</x:v>
      </x:c>
      <x:c r="G320" s="36" t="n">
        <x:v>46306</x:v>
      </x:c>
      <x:c r="H320" s="38" t="n">
        <x:v>37.799993952</x:v>
      </x:c>
      <x:c r="I320"/>
      <x:c r="J320" s="36"/>
      <x:c r="K320" s="38"/>
      <x:c r="L320"/>
      <x:c r="M320" s="36"/>
      <x:c r="N320" s="38"/>
      <x:c r="O320" s="38" t="n">
        <x:v>37.799993952</x:v>
      </x:c>
      <x:c r="P320" s="38" t="n">
        <x:v>0</x:v>
      </x:c>
      <x:c r="Q320" t="str">
        <x:v>OK</x:v>
      </x:c>
    </x:row>
    <x:row r="321">
      <x:c r="A321" s="36" t="n">
        <x:v>46229</x:v>
      </x:c>
      <x:c r="B321" t="str">
        <x:v>Šakotis</x:v>
      </x:c>
      <x:c r="C321" t="str">
        <x:v>L306</x:v>
      </x:c>
      <x:c r="D321" t="str">
        <x:v>Kvapnioji medžiaga</x:v>
      </x:c>
      <x:c r="E321" s="38" t="n">
        <x:v>0.125998992</x:v>
      </x:c>
      <x:c r="F321" t="str">
        <x:v>Kvp0630</x:v>
      </x:c>
      <x:c r="G321" s="36" t="n">
        <x:v>46388</x:v>
      </x:c>
      <x:c r="H321" s="38" t="n">
        <x:v>0.125998992</x:v>
      </x:c>
      <x:c r="I321"/>
      <x:c r="J321" s="36"/>
      <x:c r="K321" s="38"/>
      <x:c r="L321"/>
      <x:c r="M321" s="36"/>
      <x:c r="N321" s="38"/>
      <x:c r="O321" s="38" t="n">
        <x:v>0.125998992</x:v>
      </x:c>
      <x:c r="P321" s="38" t="n">
        <x:v>0</x:v>
      </x:c>
      <x:c r="Q321" t="str">
        <x:v>OK</x:v>
      </x:c>
    </x:row>
    <x:row r="322">
      <x:c r="A322" s="36" t="n">
        <x:v>46229</x:v>
      </x:c>
      <x:c r="B322" t="str">
        <x:v>Šakotis</x:v>
      </x:c>
      <x:c r="C322" t="str">
        <x:v>L306</x:v>
      </x:c>
      <x:c r="D322" t="str">
        <x:v>Ciberžolė</x:v>
      </x:c>
      <x:c r="E322" s="38" t="n">
        <x:v>0.44099647200000003</x:v>
      </x:c>
      <x:c r="F322" t="str">
        <x:v>Cib0630</x:v>
      </x:c>
      <x:c r="G322" s="36" t="n">
        <x:v>46573</x:v>
      </x:c>
      <x:c r="H322" s="38" t="n">
        <x:v>0.44099647200000003</x:v>
      </x:c>
      <x:c r="I322"/>
      <x:c r="J322" s="36"/>
      <x:c r="K322" s="38"/>
      <x:c r="L322"/>
      <x:c r="M322" s="36"/>
      <x:c r="N322" s="38"/>
      <x:c r="O322" s="38" t="n">
        <x:v>0.44099647200000003</x:v>
      </x:c>
      <x:c r="P322" s="38" t="n">
        <x:v>0</x:v>
      </x:c>
      <x:c r="Q322" t="str">
        <x:v>OK</x:v>
      </x:c>
    </x:row>
    <x:row r="323">
      <x:c r="A323" s="36" t="n">
        <x:v>46229</x:v>
      </x:c>
      <x:c r="B323" t="str">
        <x:v>Šakotis</x:v>
      </x:c>
      <x:c r="C323" t="str">
        <x:v>L306</x:v>
      </x:c>
      <x:c r="D323" t="str">
        <x:v>Vanduo</x:v>
      </x:c>
      <x:c r="E323" s="38" t="n">
        <x:v>6.29883828</x:v>
      </x:c>
      <x:c r="F323" t="str">
        <x:v>Netaikoma</x:v>
      </x:c>
      <x:c r="G323" s="36"/>
      <x:c r="H323" s="38" t="n">
        <x:v>6.29883828</x:v>
      </x:c>
      <x:c r="I323"/>
      <x:c r="J323" s="36"/>
      <x:c r="K323" s="38"/>
      <x:c r="L323"/>
      <x:c r="M323" s="36"/>
      <x:c r="N323" s="38"/>
      <x:c r="O323" s="38" t="n">
        <x:v>6.29883828</x:v>
      </x:c>
      <x:c r="P323" s="38" t="n">
        <x:v>0</x:v>
      </x:c>
      <x:c r="Q323" t="str">
        <x:v>OK</x:v>
      </x:c>
    </x:row>
    <x:row r="324">
      <x:c r="A324" s="36" t="n">
        <x:v>46230</x:v>
      </x:c>
      <x:c r="B324" t="str">
        <x:v>Šakotis</x:v>
      </x:c>
      <x:c r="C324" t="str">
        <x:v>L316</x:v>
      </x:c>
      <x:c r="D324" t="str">
        <x:v>Miltai</x:v>
      </x:c>
      <x:c r="E324" s="38" t="n">
        <x:v>116.399981376</x:v>
      </x:c>
      <x:c r="F324" t="str">
        <x:v>Mil0720</x:v>
      </x:c>
      <x:c r="G324" s="36" t="n">
        <x:v>46550</x:v>
      </x:c>
      <x:c r="H324" s="38" t="n">
        <x:v>116.399981376</x:v>
      </x:c>
      <x:c r="I324"/>
      <x:c r="J324" s="36"/>
      <x:c r="K324" s="38"/>
      <x:c r="L324"/>
      <x:c r="M324" s="36"/>
      <x:c r="N324" s="38"/>
      <x:c r="O324" s="38" t="n">
        <x:v>116.399981376</x:v>
      </x:c>
      <x:c r="P324" s="38" t="n">
        <x:v>0</x:v>
      </x:c>
      <x:c r="Q324" t="str">
        <x:v>OK</x:v>
      </x:c>
    </x:row>
    <x:row r="325">
      <x:c r="A325" s="36" t="n">
        <x:v>46230</x:v>
      </x:c>
      <x:c r="B325" t="str">
        <x:v>Šakotis</x:v>
      </x:c>
      <x:c r="C325" t="str">
        <x:v>L316</x:v>
      </x:c>
      <x:c r="D325" t="str">
        <x:v>Pienas</x:v>
      </x:c>
      <x:c r="E325" s="38" t="n">
        <x:v>43.649993016</x:v>
      </x:c>
      <x:c r="F325" t="str">
        <x:v>P0727</x:v>
      </x:c>
      <x:c r="G325" s="36" t="n">
        <x:v>46234</x:v>
      </x:c>
      <x:c r="H325" s="38" t="n">
        <x:v>43.649993016</x:v>
      </x:c>
      <x:c r="I325"/>
      <x:c r="J325" s="36"/>
      <x:c r="K325" s="38"/>
      <x:c r="L325"/>
      <x:c r="M325" s="36"/>
      <x:c r="N325" s="38"/>
      <x:c r="O325" s="38" t="n">
        <x:v>43.649993016</x:v>
      </x:c>
      <x:c r="P325" s="38" t="n">
        <x:v>0</x:v>
      </x:c>
      <x:c r="Q325" t="str">
        <x:v>OK</x:v>
      </x:c>
    </x:row>
    <x:row r="326">
      <x:c r="A326" s="36" t="n">
        <x:v>46230</x:v>
      </x:c>
      <x:c r="B326" t="str">
        <x:v>Šakotis</x:v>
      </x:c>
      <x:c r="C326" t="str">
        <x:v>L316</x:v>
      </x:c>
      <x:c r="D326" t="str">
        <x:v>Kiaušiniai</x:v>
      </x:c>
      <x:c r="E326" s="38" t="n">
        <x:v>160.04986032</x:v>
      </x:c>
      <x:c r="F326" t="str">
        <x:v>K0713</x:v>
      </x:c>
      <x:c r="G326" s="36" t="n">
        <x:v>46237</x:v>
      </x:c>
      <x:c r="H326" s="38" t="n">
        <x:v>160.04986032</x:v>
      </x:c>
      <x:c r="I326"/>
      <x:c r="J326" s="36"/>
      <x:c r="K326" s="38"/>
      <x:c r="L326"/>
      <x:c r="M326" s="36"/>
      <x:c r="N326" s="38"/>
      <x:c r="O326" s="38" t="n">
        <x:v>160.04986032</x:v>
      </x:c>
      <x:c r="P326" s="38" t="n">
        <x:v>0</x:v>
      </x:c>
      <x:c r="Q326" t="str">
        <x:v>OK</x:v>
      </x:c>
    </x:row>
    <x:row r="327">
      <x:c r="A327" s="36" t="n">
        <x:v>46230</x:v>
      </x:c>
      <x:c r="B327" t="str">
        <x:v>Šakotis</x:v>
      </x:c>
      <x:c r="C327" t="str">
        <x:v>L316</x:v>
      </x:c>
      <x:c r="D327" t="str">
        <x:v>Cukrus</x:v>
      </x:c>
      <x:c r="E327" s="38" t="n">
        <x:v>87.299986032</x:v>
      </x:c>
      <x:c r="F327" t="str">
        <x:v>Cuk0720</x:v>
      </x:c>
      <x:c r="G327" s="36" t="n">
        <x:v>46388</x:v>
      </x:c>
      <x:c r="H327" s="38" t="n">
        <x:v>87.299986032</x:v>
      </x:c>
      <x:c r="I327"/>
      <x:c r="J327" s="36"/>
      <x:c r="K327" s="38"/>
      <x:c r="L327"/>
      <x:c r="M327" s="36"/>
      <x:c r="N327" s="38"/>
      <x:c r="O327" s="38" t="n">
        <x:v>87.299986032</x:v>
      </x:c>
      <x:c r="P327" s="38" t="n">
        <x:v>0</x:v>
      </x:c>
      <x:c r="Q327" t="str">
        <x:v>OK</x:v>
      </x:c>
    </x:row>
    <x:row r="328">
      <x:c r="A328" s="36" t="n">
        <x:v>46230</x:v>
      </x:c>
      <x:c r="B328" t="str">
        <x:v>Šakotis</x:v>
      </x:c>
      <x:c r="C328" t="str">
        <x:v>L316</x:v>
      </x:c>
      <x:c r="D328" t="str">
        <x:v>Margarinas Šakočiui "Alvas"</x:v>
      </x:c>
      <x:c r="E328" s="38" t="n">
        <x:v>87.299986032</x:v>
      </x:c>
      <x:c r="F328" t="str">
        <x:v>MarA0630</x:v>
      </x:c>
      <x:c r="G328" s="36" t="n">
        <x:v>46306</x:v>
      </x:c>
      <x:c r="H328" s="38" t="n">
        <x:v>87.299986032</x:v>
      </x:c>
      <x:c r="I328"/>
      <x:c r="J328" s="36"/>
      <x:c r="K328" s="38"/>
      <x:c r="L328"/>
      <x:c r="M328" s="36"/>
      <x:c r="N328" s="38"/>
      <x:c r="O328" s="38" t="n">
        <x:v>87.299986032</x:v>
      </x:c>
      <x:c r="P328" s="38" t="n">
        <x:v>0</x:v>
      </x:c>
      <x:c r="Q328" t="str">
        <x:v>OK</x:v>
      </x:c>
    </x:row>
    <x:row r="329">
      <x:c r="A329" s="36" t="n">
        <x:v>46230</x:v>
      </x:c>
      <x:c r="B329" t="str">
        <x:v>Šakotis</x:v>
      </x:c>
      <x:c r="C329" t="str">
        <x:v>L316</x:v>
      </x:c>
      <x:c r="D329" t="str">
        <x:v>Kvapnioji medžiaga</x:v>
      </x:c>
      <x:c r="E329" s="38" t="n">
        <x:v>0.29099767200000004</x:v>
      </x:c>
      <x:c r="F329" t="str">
        <x:v>Kvp0630</x:v>
      </x:c>
      <x:c r="G329" s="36" t="n">
        <x:v>46388</x:v>
      </x:c>
      <x:c r="H329" s="38" t="n">
        <x:v>0.29099767200000004</x:v>
      </x:c>
      <x:c r="I329"/>
      <x:c r="J329" s="36"/>
      <x:c r="K329" s="38"/>
      <x:c r="L329"/>
      <x:c r="M329" s="36"/>
      <x:c r="N329" s="38"/>
      <x:c r="O329" s="38" t="n">
        <x:v>0.29099767200000004</x:v>
      </x:c>
      <x:c r="P329" s="38" t="n">
        <x:v>0</x:v>
      </x:c>
      <x:c r="Q329" t="str">
        <x:v>OK</x:v>
      </x:c>
    </x:row>
    <x:row r="330">
      <x:c r="A330" s="36" t="n">
        <x:v>46230</x:v>
      </x:c>
      <x:c r="B330" t="str">
        <x:v>Šakotis</x:v>
      </x:c>
      <x:c r="C330" t="str">
        <x:v>L316</x:v>
      </x:c>
      <x:c r="D330" t="str">
        <x:v>Ciberžolė</x:v>
      </x:c>
      <x:c r="E330" s="38" t="n">
        <x:v>1.0184918520000001</x:v>
      </x:c>
      <x:c r="F330" t="str">
        <x:v>Cib0630</x:v>
      </x:c>
      <x:c r="G330" s="36" t="n">
        <x:v>46573</x:v>
      </x:c>
      <x:c r="H330" s="38" t="n">
        <x:v>1.0184918520000001</x:v>
      </x:c>
      <x:c r="I330"/>
      <x:c r="J330" s="36"/>
      <x:c r="K330" s="38"/>
      <x:c r="L330"/>
      <x:c r="M330" s="36"/>
      <x:c r="N330" s="38"/>
      <x:c r="O330" s="38" t="n">
        <x:v>1.0184918520000001</x:v>
      </x:c>
      <x:c r="P330" s="38" t="n">
        <x:v>0</x:v>
      </x:c>
      <x:c r="Q330" t="str">
        <x:v>OK</x:v>
      </x:c>
    </x:row>
    <x:row r="331">
      <x:c r="A331" s="36" t="n">
        <x:v>46230</x:v>
      </x:c>
      <x:c r="B331" t="str">
        <x:v>Šakotis</x:v>
      </x:c>
      <x:c r="C331" t="str">
        <x:v>L316</x:v>
      </x:c>
      <x:c r="D331" t="str">
        <x:v>Vanduo</x:v>
      </x:c>
      <x:c r="E331" s="38" t="n">
        <x:v>14.54731698</x:v>
      </x:c>
      <x:c r="F331" t="str">
        <x:v>Netaikoma</x:v>
      </x:c>
      <x:c r="G331" s="36"/>
      <x:c r="H331" s="38" t="n">
        <x:v>14.54731698</x:v>
      </x:c>
      <x:c r="I331"/>
      <x:c r="J331" s="36"/>
      <x:c r="K331" s="38"/>
      <x:c r="L331"/>
      <x:c r="M331" s="36"/>
      <x:c r="N331" s="38"/>
      <x:c r="O331" s="38" t="n">
        <x:v>14.54731698</x:v>
      </x:c>
      <x:c r="P331" s="38" t="n">
        <x:v>0</x:v>
      </x:c>
      <x:c r="Q331" t="str">
        <x:v>OK</x:v>
      </x:c>
    </x:row>
    <x:row r="332">
      <x:c r="A332" s="36" t="n">
        <x:v>46230</x:v>
      </x:c>
      <x:c r="B332" t="str">
        <x:v>Trapus šakotis</x:v>
      </x:c>
      <x:c r="C332" t="str">
        <x:v>L316</x:v>
      </x:c>
      <x:c r="D332" t="str">
        <x:v>Miltai</x:v>
      </x:c>
      <x:c r="E332" s="38" t="n">
        <x:v>122.4999804</x:v>
      </x:c>
      <x:c r="F332" t="str">
        <x:v>Mil0720</x:v>
      </x:c>
      <x:c r="G332" s="36" t="n">
        <x:v>46550</x:v>
      </x:c>
      <x:c r="H332" s="38" t="n">
        <x:v>122.4999804</x:v>
      </x:c>
      <x:c r="I332"/>
      <x:c r="J332" s="36"/>
      <x:c r="K332" s="38"/>
      <x:c r="L332"/>
      <x:c r="M332" s="36"/>
      <x:c r="N332" s="38"/>
      <x:c r="O332" s="38" t="n">
        <x:v>122.4999804</x:v>
      </x:c>
      <x:c r="P332" s="38" t="n">
        <x:v>0</x:v>
      </x:c>
      <x:c r="Q332" t="str">
        <x:v>OK</x:v>
      </x:c>
    </x:row>
    <x:row r="333">
      <x:c r="A333" s="36" t="n">
        <x:v>46230</x:v>
      </x:c>
      <x:c r="B333" t="str">
        <x:v>Trapus šakotis</x:v>
      </x:c>
      <x:c r="C333" t="str">
        <x:v>L316</x:v>
      </x:c>
      <x:c r="D333" t="str">
        <x:v>Grietinės mišinys</x:v>
      </x:c>
      <x:c r="E333" s="38" t="n">
        <x:v>88.19999068999999</x:v>
      </x:c>
      <x:c r="F333" t="str">
        <x:v>Gr0724</x:v>
      </x:c>
      <x:c r="G333" s="36" t="n">
        <x:v>46237</x:v>
      </x:c>
      <x:c r="H333" s="38" t="n">
        <x:v>63.60000912000001</x:v>
      </x:c>
      <x:c r="I333"/>
      <x:c r="J333" s="36"/>
      <x:c r="K333" s="38"/>
      <x:c r="L333"/>
      <x:c r="M333" s="36"/>
      <x:c r="N333" s="38"/>
      <x:c r="O333" s="38" t="n">
        <x:v>63.60000912000001</x:v>
      </x:c>
      <x:c r="P333" s="38" t="n">
        <x:v>24.599981569999983</x:v>
      </x:c>
      <x:c r="Q333" t="str">
        <x:v>TRŪKSTA / NĖRA GALIOJANČIOS PARTIJOS</x:v>
      </x:c>
    </x:row>
    <x:row r="334">
      <x:c r="A334" s="36" t="n">
        <x:v>46230</x:v>
      </x:c>
      <x:c r="B334" t="str">
        <x:v>Trapus šakotis</x:v>
      </x:c>
      <x:c r="C334" t="str">
        <x:v>L316</x:v>
      </x:c>
      <x:c r="D334" t="str">
        <x:v>Kiaušiniai</x:v>
      </x:c>
      <x:c r="E334" s="38" t="n">
        <x:v>122.4999804</x:v>
      </x:c>
      <x:c r="F334" t="str">
        <x:v>K0713</x:v>
      </x:c>
      <x:c r="G334" s="36" t="n">
        <x:v>46237</x:v>
      </x:c>
      <x:c r="H334" s="38" t="n">
        <x:v>122.4999804</x:v>
      </x:c>
      <x:c r="I334"/>
      <x:c r="J334" s="36"/>
      <x:c r="K334" s="38"/>
      <x:c r="L334"/>
      <x:c r="M334" s="36"/>
      <x:c r="N334" s="38"/>
      <x:c r="O334" s="38" t="n">
        <x:v>122.4999804</x:v>
      </x:c>
      <x:c r="P334" s="38" t="n">
        <x:v>0</x:v>
      </x:c>
      <x:c r="Q334" t="str">
        <x:v>OK</x:v>
      </x:c>
    </x:row>
    <x:row r="335">
      <x:c r="A335" s="36" t="n">
        <x:v>46230</x:v>
      </x:c>
      <x:c r="B335" t="str">
        <x:v>Trapus šakotis</x:v>
      </x:c>
      <x:c r="C335" t="str">
        <x:v>L316</x:v>
      </x:c>
      <x:c r="D335" t="str">
        <x:v>Cukrus</x:v>
      </x:c>
      <x:c r="E335" s="38" t="n">
        <x:v>73.49998824000001</x:v>
      </x:c>
      <x:c r="F335" t="str">
        <x:v>Cuk0720</x:v>
      </x:c>
      <x:c r="G335" s="36" t="n">
        <x:v>46388</x:v>
      </x:c>
      <x:c r="H335" s="38" t="n">
        <x:v>73.49998824000001</x:v>
      </x:c>
      <x:c r="I335"/>
      <x:c r="J335" s="36"/>
      <x:c r="K335" s="38"/>
      <x:c r="L335"/>
      <x:c r="M335" s="36"/>
      <x:c r="N335" s="38"/>
      <x:c r="O335" s="38" t="n">
        <x:v>73.49998824000001</x:v>
      </x:c>
      <x:c r="P335" s="38" t="n">
        <x:v>0</x:v>
      </x:c>
      <x:c r="Q335" t="str">
        <x:v>OK</x:v>
      </x:c>
    </x:row>
    <x:row r="336">
      <x:c r="A336" s="36" t="n">
        <x:v>46230</x:v>
      </x:c>
      <x:c r="B336" t="str">
        <x:v>Trapus šakotis</x:v>
      </x:c>
      <x:c r="C336" t="str">
        <x:v>L316</x:v>
      </x:c>
      <x:c r="D336" t="str">
        <x:v>Margarinas trapiam "IEVA"</x:v>
      </x:c>
      <x:c r="E336" s="38" t="n">
        <x:v>86.7298824</x:v>
      </x:c>
      <x:c r="F336" t="str">
        <x:v>MarI0702</x:v>
      </x:c>
      <x:c r="G336" s="36" t="n">
        <x:v>46373</x:v>
      </x:c>
      <x:c r="H336" s="38" t="n">
        <x:v>86.7298824</x:v>
      </x:c>
      <x:c r="I336"/>
      <x:c r="J336" s="36"/>
      <x:c r="K336" s="38"/>
      <x:c r="L336"/>
      <x:c r="M336" s="36"/>
      <x:c r="N336" s="38"/>
      <x:c r="O336" s="38" t="n">
        <x:v>86.7298824</x:v>
      </x:c>
      <x:c r="P336" s="38" t="n">
        <x:v>0</x:v>
      </x:c>
      <x:c r="Q336" t="str">
        <x:v>OK</x:v>
      </x:c>
    </x:row>
    <x:row r="337">
      <x:c r="A337" s="36" t="n">
        <x:v>46230</x:v>
      </x:c>
      <x:c r="B337" t="str">
        <x:v>Trapus šakotis</x:v>
      </x:c>
      <x:c r="C337" t="str">
        <x:v>L316</x:v>
      </x:c>
      <x:c r="D337"/>
      <x:c r="E337" s="38"/>
      <x:c r="F337"/>
      <x:c r="G337" s="36"/>
      <x:c r="H337" s="38"/>
      <x:c r="I337"/>
      <x:c r="J337" s="36"/>
      <x:c r="K337" s="38"/>
      <x:c r="L337"/>
      <x:c r="M337" s="36"/>
      <x:c r="N337" s="38"/>
      <x:c r="O337" s="38"/>
      <x:c r="P337" s="38"/>
      <x:c r="Q337"/>
    </x:row>
    <x:row r="338">
      <x:c r="A338" s="36" t="n">
        <x:v>46230</x:v>
      </x:c>
      <x:c r="B338" t="str">
        <x:v>Trapus šakotis</x:v>
      </x:c>
      <x:c r="C338" t="str">
        <x:v>L316</x:v>
      </x:c>
      <x:c r="D338"/>
      <x:c r="E338" s="38"/>
      <x:c r="F338"/>
      <x:c r="G338" s="36"/>
      <x:c r="H338" s="38"/>
      <x:c r="I338"/>
      <x:c r="J338" s="36"/>
      <x:c r="K338" s="38"/>
      <x:c r="L338"/>
      <x:c r="M338" s="36"/>
      <x:c r="N338" s="38"/>
      <x:c r="O338" s="38"/>
      <x:c r="P338" s="38"/>
      <x:c r="Q338"/>
    </x:row>
    <x:row r="339">
      <x:c r="A339" s="36" t="n">
        <x:v>46230</x:v>
      </x:c>
      <x:c r="B339" t="str">
        <x:v>Trapus šakotis</x:v>
      </x:c>
      <x:c r="C339" t="str">
        <x:v>L316</x:v>
      </x:c>
      <x:c r="D339"/>
      <x:c r="E339" s="38"/>
      <x:c r="F339"/>
      <x:c r="G339" s="36"/>
      <x:c r="H339" s="38"/>
      <x:c r="I339"/>
      <x:c r="J339" s="36"/>
      <x:c r="K339" s="38"/>
      <x:c r="L339"/>
      <x:c r="M339" s="36"/>
      <x:c r="N339" s="38"/>
      <x:c r="O339" s="38"/>
      <x:c r="P339" s="38"/>
      <x:c r="Q339"/>
    </x:row>
    <x:row r="340">
      <x:c r="A340" s="36" t="n">
        <x:v>46231</x:v>
      </x:c>
      <x:c r="B340" t="str">
        <x:v>Šakotis</x:v>
      </x:c>
      <x:c r="C340" t="str">
        <x:v>L316</x:v>
      </x:c>
      <x:c r="D340" t="str">
        <x:v>Miltai</x:v>
      </x:c>
      <x:c r="E340" s="38" t="n">
        <x:v>139.599977664</x:v>
      </x:c>
      <x:c r="F340" t="str">
        <x:v>Mil0720</x:v>
      </x:c>
      <x:c r="G340" s="36" t="n">
        <x:v>46550</x:v>
      </x:c>
      <x:c r="H340" s="38" t="n">
        <x:v>123.60866348799937</x:v>
      </x:c>
      <x:c r="I340" t="str">
        <x:v>Mil0727</x:v>
      </x:c>
      <x:c r="J340" s="36" t="n">
        <x:v>46547</x:v>
      </x:c>
      <x:c r="K340" s="38" t="n">
        <x:v>15.991314176000628</x:v>
      </x:c>
      <x:c r="L340"/>
      <x:c r="M340" s="36"/>
      <x:c r="N340" s="38"/>
      <x:c r="O340" s="38" t="n">
        <x:v>139.599977664</x:v>
      </x:c>
      <x:c r="P340" s="38" t="n">
        <x:v>0</x:v>
      </x:c>
      <x:c r="Q340" t="str">
        <x:v>OK</x:v>
      </x:c>
    </x:row>
    <x:row r="341">
      <x:c r="A341" s="36" t="n">
        <x:v>46231</x:v>
      </x:c>
      <x:c r="B341" t="str">
        <x:v>Šakotis</x:v>
      </x:c>
      <x:c r="C341" t="str">
        <x:v>L316</x:v>
      </x:c>
      <x:c r="D341" t="str">
        <x:v>Pienas</x:v>
      </x:c>
      <x:c r="E341" s="38" t="n">
        <x:v>52.349991624</x:v>
      </x:c>
      <x:c r="F341" t="str">
        <x:v>P0727</x:v>
      </x:c>
      <x:c r="G341" s="36" t="n">
        <x:v>46234</x:v>
      </x:c>
      <x:c r="H341" s="38" t="n">
        <x:v>52.349991624</x:v>
      </x:c>
      <x:c r="I341"/>
      <x:c r="J341" s="36"/>
      <x:c r="K341" s="38"/>
      <x:c r="L341"/>
      <x:c r="M341" s="36"/>
      <x:c r="N341" s="38"/>
      <x:c r="O341" s="38" t="n">
        <x:v>52.349991624</x:v>
      </x:c>
      <x:c r="P341" s="38" t="n">
        <x:v>0</x:v>
      </x:c>
      <x:c r="Q341" t="str">
        <x:v>OK</x:v>
      </x:c>
    </x:row>
    <x:row r="342">
      <x:c r="A342" s="36" t="n">
        <x:v>46231</x:v>
      </x:c>
      <x:c r="B342" t="str">
        <x:v>Šakotis</x:v>
      </x:c>
      <x:c r="C342" t="str">
        <x:v>L316</x:v>
      </x:c>
      <x:c r="D342" t="str">
        <x:v>Kiaušiniai</x:v>
      </x:c>
      <x:c r="E342" s="38" t="n">
        <x:v>191.94983247999997</x:v>
      </x:c>
      <x:c r="F342" t="str">
        <x:v>K0713</x:v>
      </x:c>
      <x:c r="G342" s="36" t="n">
        <x:v>46237</x:v>
      </x:c>
      <x:c r="H342" s="38" t="n">
        <x:v>191.94983247999997</x:v>
      </x:c>
      <x:c r="I342"/>
      <x:c r="J342" s="36"/>
      <x:c r="K342" s="38"/>
      <x:c r="L342"/>
      <x:c r="M342" s="36"/>
      <x:c r="N342" s="38"/>
      <x:c r="O342" s="38" t="n">
        <x:v>191.94983247999997</x:v>
      </x:c>
      <x:c r="P342" s="38" t="n">
        <x:v>0</x:v>
      </x:c>
      <x:c r="Q342" t="str">
        <x:v>OK</x:v>
      </x:c>
    </x:row>
    <x:row r="343">
      <x:c r="A343" s="36" t="n">
        <x:v>46231</x:v>
      </x:c>
      <x:c r="B343" t="str">
        <x:v>Šakotis</x:v>
      </x:c>
      <x:c r="C343" t="str">
        <x:v>L316</x:v>
      </x:c>
      <x:c r="D343" t="str">
        <x:v>Cukrus</x:v>
      </x:c>
      <x:c r="E343" s="38" t="n">
        <x:v>104.699983248</x:v>
      </x:c>
      <x:c r="F343" t="str">
        <x:v>Cuk0720</x:v>
      </x:c>
      <x:c r="G343" s="36" t="n">
        <x:v>46388</x:v>
      </x:c>
      <x:c r="H343" s="38" t="n">
        <x:v>104.699983248</x:v>
      </x:c>
      <x:c r="I343"/>
      <x:c r="J343" s="36"/>
      <x:c r="K343" s="38"/>
      <x:c r="L343"/>
      <x:c r="M343" s="36"/>
      <x:c r="N343" s="38"/>
      <x:c r="O343" s="38" t="n">
        <x:v>104.699983248</x:v>
      </x:c>
      <x:c r="P343" s="38" t="n">
        <x:v>0</x:v>
      </x:c>
      <x:c r="Q343" t="str">
        <x:v>OK</x:v>
      </x:c>
    </x:row>
    <x:row r="344">
      <x:c r="A344" s="36" t="n">
        <x:v>46231</x:v>
      </x:c>
      <x:c r="B344" t="str">
        <x:v>Šakotis</x:v>
      </x:c>
      <x:c r="C344" t="str">
        <x:v>L316</x:v>
      </x:c>
      <x:c r="D344" t="str">
        <x:v>Margarinas Šakočiui "Alvas"</x:v>
      </x:c>
      <x:c r="E344" s="38" t="n">
        <x:v>104.699983248</x:v>
      </x:c>
      <x:c r="F344" t="str">
        <x:v>MarA0630</x:v>
      </x:c>
      <x:c r="G344" s="36" t="n">
        <x:v>46306</x:v>
      </x:c>
      <x:c r="H344" s="38" t="n">
        <x:v>104.699983248</x:v>
      </x:c>
      <x:c r="I344"/>
      <x:c r="J344" s="36"/>
      <x:c r="K344" s="38"/>
      <x:c r="L344"/>
      <x:c r="M344" s="36"/>
      <x:c r="N344" s="38"/>
      <x:c r="O344" s="38" t="n">
        <x:v>104.699983248</x:v>
      </x:c>
      <x:c r="P344" s="38" t="n">
        <x:v>0</x:v>
      </x:c>
      <x:c r="Q344" t="str">
        <x:v>OK</x:v>
      </x:c>
    </x:row>
    <x:row r="345">
      <x:c r="A345" s="36" t="n">
        <x:v>46231</x:v>
      </x:c>
      <x:c r="B345" t="str">
        <x:v>Šakotis</x:v>
      </x:c>
      <x:c r="C345" t="str">
        <x:v>L316</x:v>
      </x:c>
      <x:c r="D345" t="str">
        <x:v>Kvapnioji medžiaga</x:v>
      </x:c>
      <x:c r="E345" s="38" t="n">
        <x:v>0.348997208</x:v>
      </x:c>
      <x:c r="F345" t="str">
        <x:v>Kvp0630</x:v>
      </x:c>
      <x:c r="G345" s="36" t="n">
        <x:v>46388</x:v>
      </x:c>
      <x:c r="H345" s="38" t="n">
        <x:v>0.348997208</x:v>
      </x:c>
      <x:c r="I345"/>
      <x:c r="J345" s="36"/>
      <x:c r="K345" s="38"/>
      <x:c r="L345"/>
      <x:c r="M345" s="36"/>
      <x:c r="N345" s="38"/>
      <x:c r="O345" s="38" t="n">
        <x:v>0.348997208</x:v>
      </x:c>
      <x:c r="P345" s="38" t="n">
        <x:v>0</x:v>
      </x:c>
      <x:c r="Q345" t="str">
        <x:v>OK</x:v>
      </x:c>
    </x:row>
    <x:row r="346">
      <x:c r="A346" s="36" t="n">
        <x:v>46231</x:v>
      </x:c>
      <x:c r="B346" t="str">
        <x:v>Šakotis</x:v>
      </x:c>
      <x:c r="C346" t="str">
        <x:v>L316</x:v>
      </x:c>
      <x:c r="D346" t="str">
        <x:v>Ciberžolė</x:v>
      </x:c>
      <x:c r="E346" s="38" t="n">
        <x:v>1.221490228</x:v>
      </x:c>
      <x:c r="F346" t="str">
        <x:v>Cib0630</x:v>
      </x:c>
      <x:c r="G346" s="36" t="n">
        <x:v>46573</x:v>
      </x:c>
      <x:c r="H346" s="38" t="n">
        <x:v>1.221490228</x:v>
      </x:c>
      <x:c r="I346"/>
      <x:c r="J346" s="36"/>
      <x:c r="K346" s="38"/>
      <x:c r="L346"/>
      <x:c r="M346" s="36"/>
      <x:c r="N346" s="38"/>
      <x:c r="O346" s="38" t="n">
        <x:v>1.221490228</x:v>
      </x:c>
      <x:c r="P346" s="38" t="n">
        <x:v>0</x:v>
      </x:c>
      <x:c r="Q346" t="str">
        <x:v>OK</x:v>
      </x:c>
    </x:row>
    <x:row r="347">
      <x:c r="A347" s="36" t="n">
        <x:v>46231</x:v>
      </x:c>
      <x:c r="B347" t="str">
        <x:v>Šakotis</x:v>
      </x:c>
      <x:c r="C347" t="str">
        <x:v>L316</x:v>
      </x:c>
      <x:c r="D347" t="str">
        <x:v>Vanduo</x:v>
      </x:c>
      <x:c r="E347" s="38" t="n">
        <x:v>17.44678222</x:v>
      </x:c>
      <x:c r="F347" t="str">
        <x:v>Netaikoma</x:v>
      </x:c>
      <x:c r="G347" s="36"/>
      <x:c r="H347" s="38" t="n">
        <x:v>17.44678222</x:v>
      </x:c>
      <x:c r="I347"/>
      <x:c r="J347" s="36"/>
      <x:c r="K347" s="38"/>
      <x:c r="L347"/>
      <x:c r="M347" s="36"/>
      <x:c r="N347" s="38"/>
      <x:c r="O347" s="38" t="n">
        <x:v>17.44678222</x:v>
      </x:c>
      <x:c r="P347" s="38" t="n">
        <x:v>0</x:v>
      </x:c>
      <x:c r="Q347" t="str">
        <x:v>OK</x:v>
      </x:c>
    </x:row>
    <x:row r="348">
      <x:c r="A348" s="36" t="n">
        <x:v>46231</x:v>
      </x:c>
      <x:c r="B348" t="str">
        <x:v>Trapus šakotis</x:v>
      </x:c>
      <x:c r="C348" t="str">
        <x:v>L316</x:v>
      </x:c>
      <x:c r="D348" t="str">
        <x:v>Miltai</x:v>
      </x:c>
      <x:c r="E348" s="38" t="n">
        <x:v>119.99998079999999</x:v>
      </x:c>
      <x:c r="F348" t="str">
        <x:v>Mil0727</x:v>
      </x:c>
      <x:c r="G348" s="36" t="n">
        <x:v>46547</x:v>
      </x:c>
      <x:c r="H348" s="38" t="n">
        <x:v>119.99998079999999</x:v>
      </x:c>
      <x:c r="I348"/>
      <x:c r="J348" s="36"/>
      <x:c r="K348" s="38"/>
      <x:c r="L348"/>
      <x:c r="M348" s="36"/>
      <x:c r="N348" s="38"/>
      <x:c r="O348" s="38" t="n">
        <x:v>119.99998079999999</x:v>
      </x:c>
      <x:c r="P348" s="38" t="n">
        <x:v>0</x:v>
      </x:c>
      <x:c r="Q348" t="str">
        <x:v>OK</x:v>
      </x:c>
    </x:row>
    <x:row r="349">
      <x:c r="A349" s="36" t="n">
        <x:v>46231</x:v>
      </x:c>
      <x:c r="B349" t="str">
        <x:v>Trapus šakotis</x:v>
      </x:c>
      <x:c r="C349" t="str">
        <x:v>L316</x:v>
      </x:c>
      <x:c r="D349" t="str">
        <x:v>Grietinės mišinys</x:v>
      </x:c>
      <x:c r="E349" s="38" t="n">
        <x:v>86.39999087999999</x:v>
      </x:c>
      <x:c r="F349"/>
      <x:c r="G349" s="36"/>
      <x:c r="H349" s="38"/>
      <x:c r="I349"/>
      <x:c r="J349" s="36"/>
      <x:c r="K349" s="38"/>
      <x:c r="L349"/>
      <x:c r="M349" s="36"/>
      <x:c r="N349" s="38"/>
      <x:c r="O349" s="38" t="n">
        <x:v>0</x:v>
      </x:c>
      <x:c r="P349" s="38" t="n">
        <x:v>86.39999087999999</x:v>
      </x:c>
      <x:c r="Q349" t="str">
        <x:v>TRŪKSTA / NĖRA GALIOJANČIOS PARTIJOS</x:v>
      </x:c>
    </x:row>
    <x:row r="350">
      <x:c r="A350" s="36" t="n">
        <x:v>46231</x:v>
      </x:c>
      <x:c r="B350" t="str">
        <x:v>Trapus šakotis</x:v>
      </x:c>
      <x:c r="C350" t="str">
        <x:v>L316</x:v>
      </x:c>
      <x:c r="D350" t="str">
        <x:v>Kiaušiniai</x:v>
      </x:c>
      <x:c r="E350" s="38" t="n">
        <x:v>119.99998079999999</x:v>
      </x:c>
      <x:c r="F350" t="str">
        <x:v>K0713</x:v>
      </x:c>
      <x:c r="G350" s="36" t="n">
        <x:v>46237</x:v>
      </x:c>
      <x:c r="H350" s="38" t="n">
        <x:v>119.99998079999999</x:v>
      </x:c>
      <x:c r="I350"/>
      <x:c r="J350" s="36"/>
      <x:c r="K350" s="38"/>
      <x:c r="L350"/>
      <x:c r="M350" s="36"/>
      <x:c r="N350" s="38"/>
      <x:c r="O350" s="38" t="n">
        <x:v>119.99998079999999</x:v>
      </x:c>
      <x:c r="P350" s="38" t="n">
        <x:v>0</x:v>
      </x:c>
      <x:c r="Q350" t="str">
        <x:v>OK</x:v>
      </x:c>
    </x:row>
    <x:row r="351">
      <x:c r="A351" s="36" t="n">
        <x:v>46231</x:v>
      </x:c>
      <x:c r="B351" t="str">
        <x:v>Trapus šakotis</x:v>
      </x:c>
      <x:c r="C351" t="str">
        <x:v>L316</x:v>
      </x:c>
      <x:c r="D351" t="str">
        <x:v>Cukrus</x:v>
      </x:c>
      <x:c r="E351" s="38" t="n">
        <x:v>71.99998848</x:v>
      </x:c>
      <x:c r="F351" t="str">
        <x:v>Cuk0720</x:v>
      </x:c>
      <x:c r="G351" s="36" t="n">
        <x:v>46388</x:v>
      </x:c>
      <x:c r="H351" s="38" t="n">
        <x:v>71.99998848</x:v>
      </x:c>
      <x:c r="I351"/>
      <x:c r="J351" s="36"/>
      <x:c r="K351" s="38"/>
      <x:c r="L351"/>
      <x:c r="M351" s="36"/>
      <x:c r="N351" s="38"/>
      <x:c r="O351" s="38" t="n">
        <x:v>71.99998848</x:v>
      </x:c>
      <x:c r="P351" s="38" t="n">
        <x:v>0</x:v>
      </x:c>
      <x:c r="Q351" t="str">
        <x:v>OK</x:v>
      </x:c>
    </x:row>
    <x:row r="352">
      <x:c r="A352" s="36" t="n">
        <x:v>46231</x:v>
      </x:c>
      <x:c r="B352" t="str">
        <x:v>Trapus šakotis</x:v>
      </x:c>
      <x:c r="C352" t="str">
        <x:v>L316</x:v>
      </x:c>
      <x:c r="D352" t="str">
        <x:v>Margarinas trapiam "IEVA"</x:v>
      </x:c>
      <x:c r="E352" s="38" t="n">
        <x:v>84.9598848</x:v>
      </x:c>
      <x:c r="F352" t="str">
        <x:v>MarI0702</x:v>
      </x:c>
      <x:c r="G352" s="36" t="n">
        <x:v>46373</x:v>
      </x:c>
      <x:c r="H352" s="38" t="n">
        <x:v>84.9598848</x:v>
      </x:c>
      <x:c r="I352"/>
      <x:c r="J352" s="36"/>
      <x:c r="K352" s="38"/>
      <x:c r="L352"/>
      <x:c r="M352" s="36"/>
      <x:c r="N352" s="38"/>
      <x:c r="O352" s="38" t="n">
        <x:v>84.9598848</x:v>
      </x:c>
      <x:c r="P352" s="38" t="n">
        <x:v>0</x:v>
      </x:c>
      <x:c r="Q352" t="str">
        <x:v>OK</x:v>
      </x:c>
    </x:row>
    <x:row r="353">
      <x:c r="A353" s="36" t="n">
        <x:v>46231</x:v>
      </x:c>
      <x:c r="B353" t="str">
        <x:v>Trapus šakotis</x:v>
      </x:c>
      <x:c r="C353" t="str">
        <x:v>L316</x:v>
      </x:c>
      <x:c r="D353"/>
      <x:c r="E353" s="38"/>
      <x:c r="F353"/>
      <x:c r="G353" s="36"/>
      <x:c r="H353" s="38"/>
      <x:c r="I353"/>
      <x:c r="J353" s="36"/>
      <x:c r="K353" s="38"/>
      <x:c r="L353"/>
      <x:c r="M353" s="36"/>
      <x:c r="N353" s="38"/>
      <x:c r="O353" s="38"/>
      <x:c r="P353" s="38"/>
      <x:c r="Q353"/>
    </x:row>
    <x:row r="354">
      <x:c r="A354" s="36" t="n">
        <x:v>46231</x:v>
      </x:c>
      <x:c r="B354" t="str">
        <x:v>Trapus šakotis</x:v>
      </x:c>
      <x:c r="C354" t="str">
        <x:v>L316</x:v>
      </x:c>
      <x:c r="D354"/>
      <x:c r="E354" s="38"/>
      <x:c r="F354"/>
      <x:c r="G354" s="36"/>
      <x:c r="H354" s="38"/>
      <x:c r="I354"/>
      <x:c r="J354" s="36"/>
      <x:c r="K354" s="38"/>
      <x:c r="L354"/>
      <x:c r="M354" s="36"/>
      <x:c r="N354" s="38"/>
      <x:c r="O354" s="38"/>
      <x:c r="P354" s="38"/>
      <x:c r="Q354"/>
    </x:row>
    <x:row r="355">
      <x:c r="A355" s="36" t="n">
        <x:v>46231</x:v>
      </x:c>
      <x:c r="B355" t="str">
        <x:v>Trapus šakotis</x:v>
      </x:c>
      <x:c r="C355" t="str">
        <x:v>L316</x:v>
      </x:c>
      <x:c r="D355"/>
      <x:c r="E355" s="38"/>
      <x:c r="F355"/>
      <x:c r="G355" s="36"/>
      <x:c r="H355" s="38"/>
      <x:c r="I355"/>
      <x:c r="J355" s="36"/>
      <x:c r="K355" s="38"/>
      <x:c r="L355"/>
      <x:c r="M355" s="36"/>
      <x:c r="N355" s="38"/>
      <x:c r="O355" s="38"/>
      <x:c r="P355" s="38"/>
      <x:c r="Q355"/>
    </x:row>
    <x:row r="356">
      <x:c r="A356" s="36" t="n">
        <x:v>46232</x:v>
      </x:c>
      <x:c r="B356" t="str">
        <x:v>Šakotis</x:v>
      </x:c>
      <x:c r="C356" t="str">
        <x:v>L316</x:v>
      </x:c>
      <x:c r="D356" t="str">
        <x:v>Miltai</x:v>
      </x:c>
      <x:c r="E356" s="38" t="n">
        <x:v>108.39998265599999</x:v>
      </x:c>
      <x:c r="F356" t="str">
        <x:v>Mil0727</x:v>
      </x:c>
      <x:c r="G356" s="36" t="n">
        <x:v>46547</x:v>
      </x:c>
      <x:c r="H356" s="38" t="n">
        <x:v>108.39998265599999</x:v>
      </x:c>
      <x:c r="I356"/>
      <x:c r="J356" s="36"/>
      <x:c r="K356" s="38"/>
      <x:c r="L356"/>
      <x:c r="M356" s="36"/>
      <x:c r="N356" s="38"/>
      <x:c r="O356" s="38" t="n">
        <x:v>108.39998265599999</x:v>
      </x:c>
      <x:c r="P356" s="38" t="n">
        <x:v>0</x:v>
      </x:c>
      <x:c r="Q356" t="str">
        <x:v>OK</x:v>
      </x:c>
    </x:row>
    <x:row r="357">
      <x:c r="A357" s="36" t="n">
        <x:v>46232</x:v>
      </x:c>
      <x:c r="B357" t="str">
        <x:v>Šakotis</x:v>
      </x:c>
      <x:c r="C357" t="str">
        <x:v>L316</x:v>
      </x:c>
      <x:c r="D357" t="str">
        <x:v>Pienas</x:v>
      </x:c>
      <x:c r="E357" s="38" t="n">
        <x:v>40.649993496</x:v>
      </x:c>
      <x:c r="F357" t="str">
        <x:v>P0727</x:v>
      </x:c>
      <x:c r="G357" s="36" t="n">
        <x:v>46234</x:v>
      </x:c>
      <x:c r="H357" s="38" t="n">
        <x:v>4.000015359999992</x:v>
      </x:c>
      <x:c r="I357" t="str">
        <x:v>P0729</x:v>
      </x:c>
      <x:c r="J357" s="36" t="n">
        <x:v>46238</x:v>
      </x:c>
      <x:c r="K357" s="38" t="n">
        <x:v>36.64997813600001</x:v>
      </x:c>
      <x:c r="L357"/>
      <x:c r="M357" s="36"/>
      <x:c r="N357" s="38"/>
      <x:c r="O357" s="38" t="n">
        <x:v>40.649993496</x:v>
      </x:c>
      <x:c r="P357" s="38" t="n">
        <x:v>0</x:v>
      </x:c>
      <x:c r="Q357" t="str">
        <x:v>OK</x:v>
      </x:c>
    </x:row>
    <x:row r="358">
      <x:c r="A358" s="36" t="n">
        <x:v>46232</x:v>
      </x:c>
      <x:c r="B358" t="str">
        <x:v>Šakotis</x:v>
      </x:c>
      <x:c r="C358" t="str">
        <x:v>L316</x:v>
      </x:c>
      <x:c r="D358" t="str">
        <x:v>Kiaušiniai</x:v>
      </x:c>
      <x:c r="E358" s="38" t="n">
        <x:v>149.04986991999996</x:v>
      </x:c>
      <x:c r="F358" t="str">
        <x:v>K0713</x:v>
      </x:c>
      <x:c r="G358" s="36" t="n">
        <x:v>46237</x:v>
      </x:c>
      <x:c r="H358" s="38" t="n">
        <x:v>149.04986991999996</x:v>
      </x:c>
      <x:c r="I358"/>
      <x:c r="J358" s="36"/>
      <x:c r="K358" s="38"/>
      <x:c r="L358"/>
      <x:c r="M358" s="36"/>
      <x:c r="N358" s="38"/>
      <x:c r="O358" s="38" t="n">
        <x:v>149.04986991999996</x:v>
      </x:c>
      <x:c r="P358" s="38" t="n">
        <x:v>0</x:v>
      </x:c>
      <x:c r="Q358" t="str">
        <x:v>OK</x:v>
      </x:c>
    </x:row>
    <x:row r="359">
      <x:c r="A359" s="36" t="n">
        <x:v>46232</x:v>
      </x:c>
      <x:c r="B359" t="str">
        <x:v>Šakotis</x:v>
      </x:c>
      <x:c r="C359" t="str">
        <x:v>L316</x:v>
      </x:c>
      <x:c r="D359" t="str">
        <x:v>Cukrus</x:v>
      </x:c>
      <x:c r="E359" s="38" t="n">
        <x:v>81.299986992</x:v>
      </x:c>
      <x:c r="F359" t="str">
        <x:v>Cuk0720</x:v>
      </x:c>
      <x:c r="G359" s="36" t="n">
        <x:v>46388</x:v>
      </x:c>
      <x:c r="H359" s="38" t="n">
        <x:v>81.299986992</x:v>
      </x:c>
      <x:c r="I359"/>
      <x:c r="J359" s="36"/>
      <x:c r="K359" s="38"/>
      <x:c r="L359"/>
      <x:c r="M359" s="36"/>
      <x:c r="N359" s="38"/>
      <x:c r="O359" s="38" t="n">
        <x:v>81.299986992</x:v>
      </x:c>
      <x:c r="P359" s="38" t="n">
        <x:v>0</x:v>
      </x:c>
      <x:c r="Q359" t="str">
        <x:v>OK</x:v>
      </x:c>
    </x:row>
    <x:row r="360">
      <x:c r="A360" s="36" t="n">
        <x:v>46232</x:v>
      </x:c>
      <x:c r="B360" t="str">
        <x:v>Šakotis</x:v>
      </x:c>
      <x:c r="C360" t="str">
        <x:v>L316</x:v>
      </x:c>
      <x:c r="D360" t="str">
        <x:v>Margarinas Šakočiui "Alvas"</x:v>
      </x:c>
      <x:c r="E360" s="38" t="n">
        <x:v>81.299986992</x:v>
      </x:c>
      <x:c r="F360" t="str">
        <x:v>MarA0630</x:v>
      </x:c>
      <x:c r="G360" s="36" t="n">
        <x:v>46306</x:v>
      </x:c>
      <x:c r="H360" s="38" t="n">
        <x:v>81.299986992</x:v>
      </x:c>
      <x:c r="I360"/>
      <x:c r="J360" s="36"/>
      <x:c r="K360" s="38"/>
      <x:c r="L360"/>
      <x:c r="M360" s="36"/>
      <x:c r="N360" s="38"/>
      <x:c r="O360" s="38" t="n">
        <x:v>81.299986992</x:v>
      </x:c>
      <x:c r="P360" s="38" t="n">
        <x:v>0</x:v>
      </x:c>
      <x:c r="Q360" t="str">
        <x:v>OK</x:v>
      </x:c>
    </x:row>
    <x:row r="361">
      <x:c r="A361" s="36" t="n">
        <x:v>46232</x:v>
      </x:c>
      <x:c r="B361" t="str">
        <x:v>Šakotis</x:v>
      </x:c>
      <x:c r="C361" t="str">
        <x:v>L316</x:v>
      </x:c>
      <x:c r="D361" t="str">
        <x:v>Kvapnioji medžiaga</x:v>
      </x:c>
      <x:c r="E361" s="38" t="n">
        <x:v>0.270997832</x:v>
      </x:c>
      <x:c r="F361" t="str">
        <x:v>Kvp0630</x:v>
      </x:c>
      <x:c r="G361" s="36" t="n">
        <x:v>46388</x:v>
      </x:c>
      <x:c r="H361" s="38" t="n">
        <x:v>0.270997832</x:v>
      </x:c>
      <x:c r="I361"/>
      <x:c r="J361" s="36"/>
      <x:c r="K361" s="38"/>
      <x:c r="L361"/>
      <x:c r="M361" s="36"/>
      <x:c r="N361" s="38"/>
      <x:c r="O361" s="38" t="n">
        <x:v>0.270997832</x:v>
      </x:c>
      <x:c r="P361" s="38" t="n">
        <x:v>0</x:v>
      </x:c>
      <x:c r="Q361" t="str">
        <x:v>OK</x:v>
      </x:c>
    </x:row>
    <x:row r="362">
      <x:c r="A362" s="36" t="n">
        <x:v>46232</x:v>
      </x:c>
      <x:c r="B362" t="str">
        <x:v>Šakotis</x:v>
      </x:c>
      <x:c r="C362" t="str">
        <x:v>L316</x:v>
      </x:c>
      <x:c r="D362" t="str">
        <x:v>Ciberžolė</x:v>
      </x:c>
      <x:c r="E362" s="38" t="n">
        <x:v>0.948492412</x:v>
      </x:c>
      <x:c r="F362" t="str">
        <x:v>Cib0630</x:v>
      </x:c>
      <x:c r="G362" s="36" t="n">
        <x:v>46573</x:v>
      </x:c>
      <x:c r="H362" s="38" t="n">
        <x:v>0.948492412</x:v>
      </x:c>
      <x:c r="I362"/>
      <x:c r="J362" s="36"/>
      <x:c r="K362" s="38"/>
      <x:c r="L362"/>
      <x:c r="M362" s="36"/>
      <x:c r="N362" s="38"/>
      <x:c r="O362" s="38" t="n">
        <x:v>0.948492412</x:v>
      </x:c>
      <x:c r="P362" s="38" t="n">
        <x:v>0</x:v>
      </x:c>
      <x:c r="Q362" t="str">
        <x:v>OK</x:v>
      </x:c>
    </x:row>
    <x:row r="363">
      <x:c r="A363" s="36" t="n">
        <x:v>46232</x:v>
      </x:c>
      <x:c r="B363" t="str">
        <x:v>Šakotis</x:v>
      </x:c>
      <x:c r="C363" t="str">
        <x:v>L316</x:v>
      </x:c>
      <x:c r="D363" t="str">
        <x:v>Vanduo</x:v>
      </x:c>
      <x:c r="E363" s="38" t="n">
        <x:v>13.54750138</x:v>
      </x:c>
      <x:c r="F363" t="str">
        <x:v>Netaikoma</x:v>
      </x:c>
      <x:c r="G363" s="36"/>
      <x:c r="H363" s="38" t="n">
        <x:v>13.54750138</x:v>
      </x:c>
      <x:c r="I363"/>
      <x:c r="J363" s="36"/>
      <x:c r="K363" s="38"/>
      <x:c r="L363"/>
      <x:c r="M363" s="36"/>
      <x:c r="N363" s="38"/>
      <x:c r="O363" s="38" t="n">
        <x:v>13.54750138</x:v>
      </x:c>
      <x:c r="P363" s="38" t="n">
        <x:v>0</x:v>
      </x:c>
      <x:c r="Q363" t="str">
        <x:v>OK</x:v>
      </x:c>
    </x:row>
    <x:row r="364">
      <x:c r="A364" s="36" t="n">
        <x:v>46232</x:v>
      </x:c>
      <x:c r="B364" t="str">
        <x:v>Trapus šakotis</x:v>
      </x:c>
      <x:c r="C364" t="str">
        <x:v>L316</x:v>
      </x:c>
      <x:c r="D364" t="str">
        <x:v>Miltai</x:v>
      </x:c>
      <x:c r="E364" s="38" t="n">
        <x:v>79.9999872</x:v>
      </x:c>
      <x:c r="F364" t="str">
        <x:v>Mil0727</x:v>
      </x:c>
      <x:c r="G364" s="36" t="n">
        <x:v>46547</x:v>
      </x:c>
      <x:c r="H364" s="38" t="n">
        <x:v>79.9999872</x:v>
      </x:c>
      <x:c r="I364"/>
      <x:c r="J364" s="36"/>
      <x:c r="K364" s="38"/>
      <x:c r="L364"/>
      <x:c r="M364" s="36"/>
      <x:c r="N364" s="38"/>
      <x:c r="O364" s="38" t="n">
        <x:v>79.9999872</x:v>
      </x:c>
      <x:c r="P364" s="38" t="n">
        <x:v>0</x:v>
      </x:c>
      <x:c r="Q364" t="str">
        <x:v>OK</x:v>
      </x:c>
    </x:row>
    <x:row r="365">
      <x:c r="A365" s="36" t="n">
        <x:v>46232</x:v>
      </x:c>
      <x:c r="B365" t="str">
        <x:v>Trapus šakotis</x:v>
      </x:c>
      <x:c r="C365" t="str">
        <x:v>L316</x:v>
      </x:c>
      <x:c r="D365" t="str">
        <x:v>Grietinės mišinys</x:v>
      </x:c>
      <x:c r="E365" s="38" t="n">
        <x:v>57.59999392</x:v>
      </x:c>
      <x:c r="F365" t="str">
        <x:v>Gr0729</x:v>
      </x:c>
      <x:c r="G365" s="36" t="n">
        <x:v>46241</x:v>
      </x:c>
      <x:c r="H365" s="38" t="n">
        <x:v>57.59999392</x:v>
      </x:c>
      <x:c r="I365"/>
      <x:c r="J365" s="36"/>
      <x:c r="K365" s="38"/>
      <x:c r="L365"/>
      <x:c r="M365" s="36"/>
      <x:c r="N365" s="38"/>
      <x:c r="O365" s="38" t="n">
        <x:v>57.59999392</x:v>
      </x:c>
      <x:c r="P365" s="38" t="n">
        <x:v>0</x:v>
      </x:c>
      <x:c r="Q365" t="str">
        <x:v>OK</x:v>
      </x:c>
    </x:row>
    <x:row r="366">
      <x:c r="A366" s="36" t="n">
        <x:v>46232</x:v>
      </x:c>
      <x:c r="B366" t="str">
        <x:v>Trapus šakotis</x:v>
      </x:c>
      <x:c r="C366" t="str">
        <x:v>L316</x:v>
      </x:c>
      <x:c r="D366" t="str">
        <x:v>Kiaušiniai</x:v>
      </x:c>
      <x:c r="E366" s="38" t="n">
        <x:v>79.9999872</x:v>
      </x:c>
      <x:c r="F366" t="str">
        <x:v>K0713</x:v>
      </x:c>
      <x:c r="G366" s="36" t="n">
        <x:v>46237</x:v>
      </x:c>
      <x:c r="H366" s="38" t="n">
        <x:v>79.9999872</x:v>
      </x:c>
      <x:c r="I366"/>
      <x:c r="J366" s="36"/>
      <x:c r="K366" s="38"/>
      <x:c r="L366"/>
      <x:c r="M366" s="36"/>
      <x:c r="N366" s="38"/>
      <x:c r="O366" s="38" t="n">
        <x:v>79.9999872</x:v>
      </x:c>
      <x:c r="P366" s="38" t="n">
        <x:v>0</x:v>
      </x:c>
      <x:c r="Q366" t="str">
        <x:v>OK</x:v>
      </x:c>
    </x:row>
    <x:row r="367">
      <x:c r="A367" s="36" t="n">
        <x:v>46232</x:v>
      </x:c>
      <x:c r="B367" t="str">
        <x:v>Trapus šakotis</x:v>
      </x:c>
      <x:c r="C367" t="str">
        <x:v>L316</x:v>
      </x:c>
      <x:c r="D367" t="str">
        <x:v>Cukrus</x:v>
      </x:c>
      <x:c r="E367" s="38" t="n">
        <x:v>47.999992320000004</x:v>
      </x:c>
      <x:c r="F367" t="str">
        <x:v>Cuk0720</x:v>
      </x:c>
      <x:c r="G367" s="36" t="n">
        <x:v>46388</x:v>
      </x:c>
      <x:c r="H367" s="38" t="n">
        <x:v>47.999992320000004</x:v>
      </x:c>
      <x:c r="I367"/>
      <x:c r="J367" s="36"/>
      <x:c r="K367" s="38"/>
      <x:c r="L367"/>
      <x:c r="M367" s="36"/>
      <x:c r="N367" s="38"/>
      <x:c r="O367" s="38" t="n">
        <x:v>47.999992320000004</x:v>
      </x:c>
      <x:c r="P367" s="38" t="n">
        <x:v>0</x:v>
      </x:c>
      <x:c r="Q367" t="str">
        <x:v>OK</x:v>
      </x:c>
    </x:row>
    <x:row r="368">
      <x:c r="A368" s="36" t="n">
        <x:v>46232</x:v>
      </x:c>
      <x:c r="B368" t="str">
        <x:v>Trapus šakotis</x:v>
      </x:c>
      <x:c r="C368" t="str">
        <x:v>L316</x:v>
      </x:c>
      <x:c r="D368" t="str">
        <x:v>Margarinas trapiam "IEVA"</x:v>
      </x:c>
      <x:c r="E368" s="38" t="n">
        <x:v>56.639923200000005</x:v>
      </x:c>
      <x:c r="F368" t="str">
        <x:v>MarI0702</x:v>
      </x:c>
      <x:c r="G368" s="36" t="n">
        <x:v>46373</x:v>
      </x:c>
      <x:c r="H368" s="38" t="n">
        <x:v>56.639923200000005</x:v>
      </x:c>
      <x:c r="I368"/>
      <x:c r="J368" s="36"/>
      <x:c r="K368" s="38"/>
      <x:c r="L368"/>
      <x:c r="M368" s="36"/>
      <x:c r="N368" s="38"/>
      <x:c r="O368" s="38" t="n">
        <x:v>56.639923200000005</x:v>
      </x:c>
      <x:c r="P368" s="38" t="n">
        <x:v>0</x:v>
      </x:c>
      <x:c r="Q368" t="str">
        <x:v>OK</x:v>
      </x:c>
    </x:row>
    <x:row r="369">
      <x:c r="A369" s="36" t="n">
        <x:v>46232</x:v>
      </x:c>
      <x:c r="B369" t="str">
        <x:v>Trapus šakotis</x:v>
      </x:c>
      <x:c r="C369" t="str">
        <x:v>L316</x:v>
      </x:c>
      <x:c r="D369"/>
      <x:c r="E369" s="38"/>
      <x:c r="F369"/>
      <x:c r="G369" s="36"/>
      <x:c r="H369" s="38"/>
      <x:c r="I369"/>
      <x:c r="J369" s="36"/>
      <x:c r="K369" s="38"/>
      <x:c r="L369"/>
      <x:c r="M369" s="36"/>
      <x:c r="N369" s="38"/>
      <x:c r="O369" s="38"/>
      <x:c r="P369" s="38"/>
      <x:c r="Q369"/>
    </x:row>
    <x:row r="370">
      <x:c r="A370" s="36" t="n">
        <x:v>46232</x:v>
      </x:c>
      <x:c r="B370" t="str">
        <x:v>Trapus šakotis</x:v>
      </x:c>
      <x:c r="C370" t="str">
        <x:v>L316</x:v>
      </x:c>
      <x:c r="D370"/>
      <x:c r="E370" s="38"/>
      <x:c r="F370"/>
      <x:c r="G370" s="36"/>
      <x:c r="H370" s="38"/>
      <x:c r="I370"/>
      <x:c r="J370" s="36"/>
      <x:c r="K370" s="38"/>
      <x:c r="L370"/>
      <x:c r="M370" s="36"/>
      <x:c r="N370" s="38"/>
      <x:c r="O370" s="38"/>
      <x:c r="P370" s="38"/>
      <x:c r="Q370"/>
    </x:row>
    <x:row r="371">
      <x:c r="A371" s="36" t="n">
        <x:v>46232</x:v>
      </x:c>
      <x:c r="B371" t="str">
        <x:v>Trapus šakotis</x:v>
      </x:c>
      <x:c r="C371" t="str">
        <x:v>L316</x:v>
      </x:c>
      <x:c r="D371"/>
      <x:c r="E371" s="38"/>
      <x:c r="F371"/>
      <x:c r="G371" s="36"/>
      <x:c r="H371" s="38"/>
      <x:c r="I371"/>
      <x:c r="J371" s="36"/>
      <x:c r="K371" s="38"/>
      <x:c r="L371"/>
      <x:c r="M371" s="36"/>
      <x:c r="N371" s="38"/>
      <x:c r="O371" s="38"/>
      <x:c r="P371" s="38"/>
      <x:c r="Q371"/>
    </x:row>
    <x:row r="372">
      <x:c r="A372" s="36" t="n">
        <x:v>46233</x:v>
      </x:c>
      <x:c r="B372" t="str">
        <x:v>Šakotis</x:v>
      </x:c>
      <x:c r="C372" t="str">
        <x:v>L316</x:v>
      </x:c>
      <x:c r="D372" t="str">
        <x:v>Miltai</x:v>
      </x:c>
      <x:c r="E372" s="38" t="n">
        <x:v>81.99998688000001</x:v>
      </x:c>
      <x:c r="F372" t="str">
        <x:v>Mil0727</x:v>
      </x:c>
      <x:c r="G372" s="36" t="n">
        <x:v>46547</x:v>
      </x:c>
      <x:c r="H372" s="38" t="n">
        <x:v>81.99998688000001</x:v>
      </x:c>
      <x:c r="I372"/>
      <x:c r="J372" s="36"/>
      <x:c r="K372" s="38"/>
      <x:c r="L372"/>
      <x:c r="M372" s="36"/>
      <x:c r="N372" s="38"/>
      <x:c r="O372" s="38" t="n">
        <x:v>81.99998688000001</x:v>
      </x:c>
      <x:c r="P372" s="38" t="n">
        <x:v>0</x:v>
      </x:c>
      <x:c r="Q372" t="str">
        <x:v>OK</x:v>
      </x:c>
    </x:row>
    <x:row r="373">
      <x:c r="A373" s="36" t="n">
        <x:v>46233</x:v>
      </x:c>
      <x:c r="B373" t="str">
        <x:v>Šakotis</x:v>
      </x:c>
      <x:c r="C373" t="str">
        <x:v>L316</x:v>
      </x:c>
      <x:c r="D373" t="str">
        <x:v>Pienas</x:v>
      </x:c>
      <x:c r="E373" s="38" t="n">
        <x:v>30.74999508</x:v>
      </x:c>
      <x:c r="F373" t="str">
        <x:v>P0729</x:v>
      </x:c>
      <x:c r="G373" s="36" t="n">
        <x:v>46238</x:v>
      </x:c>
      <x:c r="H373" s="38" t="n">
        <x:v>30.74999508</x:v>
      </x:c>
      <x:c r="I373"/>
      <x:c r="J373" s="36"/>
      <x:c r="K373" s="38"/>
      <x:c r="L373"/>
      <x:c r="M373" s="36"/>
      <x:c r="N373" s="38"/>
      <x:c r="O373" s="38" t="n">
        <x:v>30.74999508</x:v>
      </x:c>
      <x:c r="P373" s="38" t="n">
        <x:v>0</x:v>
      </x:c>
      <x:c r="Q373" t="str">
        <x:v>OK</x:v>
      </x:c>
    </x:row>
    <x:row r="374">
      <x:c r="A374" s="36" t="n">
        <x:v>46233</x:v>
      </x:c>
      <x:c r="B374" t="str">
        <x:v>Šakotis</x:v>
      </x:c>
      <x:c r="C374" t="str">
        <x:v>L316</x:v>
      </x:c>
      <x:c r="D374" t="str">
        <x:v>Kiaušiniai</x:v>
      </x:c>
      <x:c r="E374" s="38" t="n">
        <x:v>112.74990159999999</x:v>
      </x:c>
      <x:c r="F374" t="str">
        <x:v>K0713</x:v>
      </x:c>
      <x:c r="G374" s="36" t="n">
        <x:v>46237</x:v>
      </x:c>
      <x:c r="H374" s="38" t="n">
        <x:v>94.40138824000087</x:v>
      </x:c>
      <x:c r="I374"/>
      <x:c r="J374" s="36"/>
      <x:c r="K374" s="38"/>
      <x:c r="L374"/>
      <x:c r="M374" s="36"/>
      <x:c r="N374" s="38"/>
      <x:c r="O374" s="38" t="n">
        <x:v>94.40138824000087</x:v>
      </x:c>
      <x:c r="P374" s="38" t="n">
        <x:v>18.348513359999117</x:v>
      </x:c>
      <x:c r="Q374" t="str">
        <x:v>TRŪKSTA / NĖRA GALIOJANČIOS PARTIJOS</x:v>
      </x:c>
    </x:row>
    <x:row r="375">
      <x:c r="A375" s="36" t="n">
        <x:v>46233</x:v>
      </x:c>
      <x:c r="B375" t="str">
        <x:v>Šakotis</x:v>
      </x:c>
      <x:c r="C375" t="str">
        <x:v>L316</x:v>
      </x:c>
      <x:c r="D375" t="str">
        <x:v>Cukrus</x:v>
      </x:c>
      <x:c r="E375" s="38" t="n">
        <x:v>61.49999016</x:v>
      </x:c>
      <x:c r="F375" t="str">
        <x:v>Cuk0720</x:v>
      </x:c>
      <x:c r="G375" s="36" t="n">
        <x:v>46388</x:v>
      </x:c>
      <x:c r="H375" s="38" t="n">
        <x:v>61.49999016</x:v>
      </x:c>
      <x:c r="I375"/>
      <x:c r="J375" s="36"/>
      <x:c r="K375" s="38"/>
      <x:c r="L375"/>
      <x:c r="M375" s="36"/>
      <x:c r="N375" s="38"/>
      <x:c r="O375" s="38" t="n">
        <x:v>61.49999016</x:v>
      </x:c>
      <x:c r="P375" s="38" t="n">
        <x:v>0</x:v>
      </x:c>
      <x:c r="Q375" t="str">
        <x:v>OK</x:v>
      </x:c>
    </x:row>
    <x:row r="376">
      <x:c r="A376" s="36" t="n">
        <x:v>46233</x:v>
      </x:c>
      <x:c r="B376" t="str">
        <x:v>Šakotis</x:v>
      </x:c>
      <x:c r="C376" t="str">
        <x:v>L316</x:v>
      </x:c>
      <x:c r="D376" t="str">
        <x:v>Margarinas Šakočiui "Alvas"</x:v>
      </x:c>
      <x:c r="E376" s="38" t="n">
        <x:v>61.49999016</x:v>
      </x:c>
      <x:c r="F376" t="str">
        <x:v>MarA0630</x:v>
      </x:c>
      <x:c r="G376" s="36" t="n">
        <x:v>46306</x:v>
      </x:c>
      <x:c r="H376" s="38" t="n">
        <x:v>61.49999016</x:v>
      </x:c>
      <x:c r="I376"/>
      <x:c r="J376" s="36"/>
      <x:c r="K376" s="38"/>
      <x:c r="L376"/>
      <x:c r="M376" s="36"/>
      <x:c r="N376" s="38"/>
      <x:c r="O376" s="38" t="n">
        <x:v>61.49999016</x:v>
      </x:c>
      <x:c r="P376" s="38" t="n">
        <x:v>0</x:v>
      </x:c>
      <x:c r="Q376" t="str">
        <x:v>OK</x:v>
      </x:c>
    </x:row>
    <x:row r="377">
      <x:c r="A377" s="36" t="n">
        <x:v>46233</x:v>
      </x:c>
      <x:c r="B377" t="str">
        <x:v>Šakotis</x:v>
      </x:c>
      <x:c r="C377" t="str">
        <x:v>L316</x:v>
      </x:c>
      <x:c r="D377" t="str">
        <x:v>Kvapnioji medžiaga</x:v>
      </x:c>
      <x:c r="E377" s="38" t="n">
        <x:v>0.20499836000000002</x:v>
      </x:c>
      <x:c r="F377" t="str">
        <x:v>Kvp0630</x:v>
      </x:c>
      <x:c r="G377" s="36" t="n">
        <x:v>46388</x:v>
      </x:c>
      <x:c r="H377" s="38" t="n">
        <x:v>0.20499836000000002</x:v>
      </x:c>
      <x:c r="I377"/>
      <x:c r="J377" s="36"/>
      <x:c r="K377" s="38"/>
      <x:c r="L377"/>
      <x:c r="M377" s="36"/>
      <x:c r="N377" s="38"/>
      <x:c r="O377" s="38" t="n">
        <x:v>0.20499836000000002</x:v>
      </x:c>
      <x:c r="P377" s="38" t="n">
        <x:v>0</x:v>
      </x:c>
      <x:c r="Q377" t="str">
        <x:v>OK</x:v>
      </x:c>
    </x:row>
    <x:row r="378">
      <x:c r="A378" s="36" t="n">
        <x:v>46233</x:v>
      </x:c>
      <x:c r="B378" t="str">
        <x:v>Šakotis</x:v>
      </x:c>
      <x:c r="C378" t="str">
        <x:v>L316</x:v>
      </x:c>
      <x:c r="D378" t="str">
        <x:v>Ciberžolė</x:v>
      </x:c>
      <x:c r="E378" s="38" t="n">
        <x:v>0.71749426</x:v>
      </x:c>
      <x:c r="F378" t="str">
        <x:v>Cib0630</x:v>
      </x:c>
      <x:c r="G378" s="36" t="n">
        <x:v>46573</x:v>
      </x:c>
      <x:c r="H378" s="38" t="n">
        <x:v>0.71749426</x:v>
      </x:c>
      <x:c r="I378"/>
      <x:c r="J378" s="36"/>
      <x:c r="K378" s="38"/>
      <x:c r="L378"/>
      <x:c r="M378" s="36"/>
      <x:c r="N378" s="38"/>
      <x:c r="O378" s="38" t="n">
        <x:v>0.71749426</x:v>
      </x:c>
      <x:c r="P378" s="38" t="n">
        <x:v>0</x:v>
      </x:c>
      <x:c r="Q378" t="str">
        <x:v>OK</x:v>
      </x:c>
    </x:row>
    <x:row r="379">
      <x:c r="A379" s="36" t="n">
        <x:v>46233</x:v>
      </x:c>
      <x:c r="B379" t="str">
        <x:v>Šakotis</x:v>
      </x:c>
      <x:c r="C379" t="str">
        <x:v>L316</x:v>
      </x:c>
      <x:c r="D379" t="str">
        <x:v>Vanduo</x:v>
      </x:c>
      <x:c r="E379" s="38" t="n">
        <x:v>10.248109900000001</x:v>
      </x:c>
      <x:c r="F379" t="str">
        <x:v>Netaikoma</x:v>
      </x:c>
      <x:c r="G379" s="36"/>
      <x:c r="H379" s="38" t="n">
        <x:v>10.248109900000001</x:v>
      </x:c>
      <x:c r="I379"/>
      <x:c r="J379" s="36"/>
      <x:c r="K379" s="38"/>
      <x:c r="L379"/>
      <x:c r="M379" s="36"/>
      <x:c r="N379" s="38"/>
      <x:c r="O379" s="38" t="n">
        <x:v>10.248109900000001</x:v>
      </x:c>
      <x:c r="P379" s="38" t="n">
        <x:v>0</x:v>
      </x:c>
      <x:c r="Q379" t="str">
        <x:v>OK</x:v>
      </x:c>
    </x:row>
    <x:row r="380">
      <x:c r="A380" s="36" t="n">
        <x:v>46233</x:v>
      </x:c>
      <x:c r="B380" t="str">
        <x:v>Trapus šakotis</x:v>
      </x:c>
      <x:c r="C380" t="str">
        <x:v>L316</x:v>
      </x:c>
      <x:c r="D380" t="str">
        <x:v>Miltai</x:v>
      </x:c>
      <x:c r="E380" s="38" t="n">
        <x:v>119.99998079999999</x:v>
      </x:c>
      <x:c r="F380" t="str">
        <x:v>Mil0727</x:v>
      </x:c>
      <x:c r="G380" s="36" t="n">
        <x:v>46547</x:v>
      </x:c>
      <x:c r="H380" s="38" t="n">
        <x:v>119.99998079999999</x:v>
      </x:c>
      <x:c r="I380"/>
      <x:c r="J380" s="36"/>
      <x:c r="K380" s="38"/>
      <x:c r="L380"/>
      <x:c r="M380" s="36"/>
      <x:c r="N380" s="38"/>
      <x:c r="O380" s="38" t="n">
        <x:v>119.99998079999999</x:v>
      </x:c>
      <x:c r="P380" s="38" t="n">
        <x:v>0</x:v>
      </x:c>
      <x:c r="Q380" t="str">
        <x:v>OK</x:v>
      </x:c>
    </x:row>
    <x:row r="381">
      <x:c r="A381" s="36" t="n">
        <x:v>46233</x:v>
      </x:c>
      <x:c r="B381" t="str">
        <x:v>Trapus šakotis</x:v>
      </x:c>
      <x:c r="C381" t="str">
        <x:v>L316</x:v>
      </x:c>
      <x:c r="D381" t="str">
        <x:v>Grietinės mišinys</x:v>
      </x:c>
      <x:c r="E381" s="38" t="n">
        <x:v>86.39999087999999</x:v>
      </x:c>
      <x:c r="F381" t="str">
        <x:v>Gr0729</x:v>
      </x:c>
      <x:c r="G381" s="36" t="n">
        <x:v>46241</x:v>
      </x:c>
      <x:c r="H381" s="38" t="n">
        <x:v>86.39999087999999</x:v>
      </x:c>
      <x:c r="I381"/>
      <x:c r="J381" s="36"/>
      <x:c r="K381" s="38"/>
      <x:c r="L381"/>
      <x:c r="M381" s="36"/>
      <x:c r="N381" s="38"/>
      <x:c r="O381" s="38" t="n">
        <x:v>86.39999087999999</x:v>
      </x:c>
      <x:c r="P381" s="38" t="n">
        <x:v>0</x:v>
      </x:c>
      <x:c r="Q381" t="str">
        <x:v>OK</x:v>
      </x:c>
    </x:row>
    <x:row r="382">
      <x:c r="A382" s="36" t="n">
        <x:v>46233</x:v>
      </x:c>
      <x:c r="B382" t="str">
        <x:v>Trapus šakotis</x:v>
      </x:c>
      <x:c r="C382" t="str">
        <x:v>L316</x:v>
      </x:c>
      <x:c r="D382" t="str">
        <x:v>Kiaušiniai</x:v>
      </x:c>
      <x:c r="E382" s="38" t="n">
        <x:v>119.99998079999999</x:v>
      </x:c>
      <x:c r="F382"/>
      <x:c r="G382" s="36"/>
      <x:c r="H382" s="38"/>
      <x:c r="I382"/>
      <x:c r="J382" s="36"/>
      <x:c r="K382" s="38"/>
      <x:c r="L382"/>
      <x:c r="M382" s="36"/>
      <x:c r="N382" s="38"/>
      <x:c r="O382" s="38" t="n">
        <x:v>0</x:v>
      </x:c>
      <x:c r="P382" s="38" t="n">
        <x:v>119.99998079999999</x:v>
      </x:c>
      <x:c r="Q382" t="str">
        <x:v>TRŪKSTA / NĖRA GALIOJANČIOS PARTIJOS</x:v>
      </x:c>
    </x:row>
    <x:row r="383">
      <x:c r="A383" s="36" t="n">
        <x:v>46233</x:v>
      </x:c>
      <x:c r="B383" t="str">
        <x:v>Trapus šakotis</x:v>
      </x:c>
      <x:c r="C383" t="str">
        <x:v>L316</x:v>
      </x:c>
      <x:c r="D383" t="str">
        <x:v>Cukrus</x:v>
      </x:c>
      <x:c r="E383" s="38" t="n">
        <x:v>71.99998848</x:v>
      </x:c>
      <x:c r="F383" t="str">
        <x:v>Cuk0720</x:v>
      </x:c>
      <x:c r="G383" s="36" t="n">
        <x:v>46388</x:v>
      </x:c>
      <x:c r="H383" s="38" t="n">
        <x:v>71.99998848</x:v>
      </x:c>
      <x:c r="I383"/>
      <x:c r="J383" s="36"/>
      <x:c r="K383" s="38"/>
      <x:c r="L383"/>
      <x:c r="M383" s="36"/>
      <x:c r="N383" s="38"/>
      <x:c r="O383" s="38" t="n">
        <x:v>71.99998848</x:v>
      </x:c>
      <x:c r="P383" s="38" t="n">
        <x:v>0</x:v>
      </x:c>
      <x:c r="Q383" t="str">
        <x:v>OK</x:v>
      </x:c>
    </x:row>
    <x:row r="384">
      <x:c r="A384" s="36" t="n">
        <x:v>46233</x:v>
      </x:c>
      <x:c r="B384" t="str">
        <x:v>Trapus šakotis</x:v>
      </x:c>
      <x:c r="C384" t="str">
        <x:v>L316</x:v>
      </x:c>
      <x:c r="D384" t="str">
        <x:v>Margarinas trapiam "IEVA"</x:v>
      </x:c>
      <x:c r="E384" s="38" t="n">
        <x:v>84.9598848</x:v>
      </x:c>
      <x:c r="F384" t="str">
        <x:v>MarI0702</x:v>
      </x:c>
      <x:c r="G384" s="36" t="n">
        <x:v>46373</x:v>
      </x:c>
      <x:c r="H384" s="38" t="n">
        <x:v>84.9598848</x:v>
      </x:c>
      <x:c r="I384"/>
      <x:c r="J384" s="36"/>
      <x:c r="K384" s="38"/>
      <x:c r="L384"/>
      <x:c r="M384" s="36"/>
      <x:c r="N384" s="38"/>
      <x:c r="O384" s="38" t="n">
        <x:v>84.9598848</x:v>
      </x:c>
      <x:c r="P384" s="38" t="n">
        <x:v>0</x:v>
      </x:c>
      <x:c r="Q384" t="str">
        <x:v>OK</x:v>
      </x:c>
    </x:row>
    <x:row r="385">
      <x:c r="A385" s="36" t="n">
        <x:v>46233</x:v>
      </x:c>
      <x:c r="B385" t="str">
        <x:v>Trapus šakotis</x:v>
      </x:c>
      <x:c r="C385" t="str">
        <x:v>L316</x:v>
      </x:c>
      <x:c r="D385"/>
      <x:c r="E385" s="38"/>
      <x:c r="F385"/>
      <x:c r="G385" s="36"/>
      <x:c r="H385" s="38"/>
      <x:c r="I385"/>
      <x:c r="J385" s="36"/>
      <x:c r="K385" s="38"/>
      <x:c r="L385"/>
      <x:c r="M385" s="36"/>
      <x:c r="N385" s="38"/>
      <x:c r="O385" s="38"/>
      <x:c r="P385" s="38"/>
      <x:c r="Q385"/>
    </x:row>
    <x:row r="386">
      <x:c r="A386" s="36" t="n">
        <x:v>46233</x:v>
      </x:c>
      <x:c r="B386" t="str">
        <x:v>Trapus šakotis</x:v>
      </x:c>
      <x:c r="C386" t="str">
        <x:v>L316</x:v>
      </x:c>
      <x:c r="D386"/>
      <x:c r="E386" s="38"/>
      <x:c r="F386"/>
      <x:c r="G386" s="36"/>
      <x:c r="H386" s="38"/>
      <x:c r="I386"/>
      <x:c r="J386" s="36"/>
      <x:c r="K386" s="38"/>
      <x:c r="L386"/>
      <x:c r="M386" s="36"/>
      <x:c r="N386" s="38"/>
      <x:c r="O386" s="38"/>
      <x:c r="P386" s="38"/>
      <x:c r="Q386"/>
    </x:row>
    <x:row r="387">
      <x:c r="A387" s="36" t="n">
        <x:v>46233</x:v>
      </x:c>
      <x:c r="B387" t="str">
        <x:v>Trapus šakotis</x:v>
      </x:c>
      <x:c r="C387" t="str">
        <x:v>L316</x:v>
      </x:c>
      <x:c r="D387"/>
      <x:c r="E387" s="38"/>
      <x:c r="F387"/>
      <x:c r="G387" s="36"/>
      <x:c r="H387" s="38"/>
      <x:c r="I387"/>
      <x:c r="J387" s="36"/>
      <x:c r="K387" s="38"/>
      <x:c r="L387"/>
      <x:c r="M387" s="36"/>
      <x:c r="N387" s="38"/>
      <x:c r="O387" s="38"/>
      <x:c r="P387" s="38"/>
      <x:c r="Q387"/>
    </x:row>
    <x:row r="388">
      <x:c r="A388" s="36" t="n">
        <x:v>46236</x:v>
      </x:c>
      <x:c r="B388" t="str">
        <x:v>Šakotis</x:v>
      </x:c>
      <x:c r="C388" t="str">
        <x:v>L326</x:v>
      </x:c>
      <x:c r="D388" t="str">
        <x:v>Miltai</x:v>
      </x:c>
      <x:c r="E388" s="38" t="n">
        <x:v>92.799985152</x:v>
      </x:c>
      <x:c r="F388" t="str">
        <x:v>Mil0727</x:v>
      </x:c>
      <x:c r="G388" s="36" t="n">
        <x:v>46547</x:v>
      </x:c>
      <x:c r="H388" s="38" t="n">
        <x:v>92.799985152</x:v>
      </x:c>
      <x:c r="I388"/>
      <x:c r="J388" s="36"/>
      <x:c r="K388" s="38"/>
      <x:c r="L388"/>
      <x:c r="M388" s="36"/>
      <x:c r="N388" s="38"/>
      <x:c r="O388" s="38" t="n">
        <x:v>92.799985152</x:v>
      </x:c>
      <x:c r="P388" s="38" t="n">
        <x:v>0</x:v>
      </x:c>
      <x:c r="Q388" t="str">
        <x:v>OK</x:v>
      </x:c>
    </x:row>
    <x:row r="389">
      <x:c r="A389" s="36" t="n">
        <x:v>46236</x:v>
      </x:c>
      <x:c r="B389" t="str">
        <x:v>Šakotis</x:v>
      </x:c>
      <x:c r="C389" t="str">
        <x:v>L326</x:v>
      </x:c>
      <x:c r="D389" t="str">
        <x:v>Pienas</x:v>
      </x:c>
      <x:c r="E389" s="38" t="n">
        <x:v>34.799994432000005</x:v>
      </x:c>
      <x:c r="F389" t="str">
        <x:v>P0729</x:v>
      </x:c>
      <x:c r="G389" s="36" t="n">
        <x:v>46238</x:v>
      </x:c>
      <x:c r="H389" s="38" t="n">
        <x:v>34.799994432000005</x:v>
      </x:c>
      <x:c r="I389"/>
      <x:c r="J389" s="36"/>
      <x:c r="K389" s="38"/>
      <x:c r="L389"/>
      <x:c r="M389" s="36"/>
      <x:c r="N389" s="38"/>
      <x:c r="O389" s="38" t="n">
        <x:v>34.799994432000005</x:v>
      </x:c>
      <x:c r="P389" s="38" t="n">
        <x:v>0</x:v>
      </x:c>
      <x:c r="Q389" t="str">
        <x:v>OK</x:v>
      </x:c>
    </x:row>
    <x:row r="390">
      <x:c r="A390" s="36" t="n">
        <x:v>46236</x:v>
      </x:c>
      <x:c r="B390" t="str">
        <x:v>Šakotis</x:v>
      </x:c>
      <x:c r="C390" t="str">
        <x:v>L326</x:v>
      </x:c>
      <x:c r="D390" t="str">
        <x:v>Kiaušiniai</x:v>
      </x:c>
      <x:c r="E390" s="38" t="n">
        <x:v>127.59988863999999</x:v>
      </x:c>
      <x:c r="F390"/>
      <x:c r="G390" s="36"/>
      <x:c r="H390" s="38"/>
      <x:c r="I390"/>
      <x:c r="J390" s="36"/>
      <x:c r="K390" s="38"/>
      <x:c r="L390"/>
      <x:c r="M390" s="36"/>
      <x:c r="N390" s="38"/>
      <x:c r="O390" s="38" t="n">
        <x:v>0</x:v>
      </x:c>
      <x:c r="P390" s="38" t="n">
        <x:v>127.59988863999999</x:v>
      </x:c>
      <x:c r="Q390" t="str">
        <x:v>TRŪKSTA / NĖRA GALIOJANČIOS PARTIJOS</x:v>
      </x:c>
    </x:row>
    <x:row r="391">
      <x:c r="A391" s="36" t="n">
        <x:v>46236</x:v>
      </x:c>
      <x:c r="B391" t="str">
        <x:v>Šakotis</x:v>
      </x:c>
      <x:c r="C391" t="str">
        <x:v>L326</x:v>
      </x:c>
      <x:c r="D391" t="str">
        <x:v>Cukrus</x:v>
      </x:c>
      <x:c r="E391" s="38" t="n">
        <x:v>69.59998886400001</x:v>
      </x:c>
      <x:c r="F391" t="str">
        <x:v>Cuk0720</x:v>
      </x:c>
      <x:c r="G391" s="36" t="n">
        <x:v>46388</x:v>
      </x:c>
      <x:c r="H391" s="38" t="n">
        <x:v>58.406529104000015</x:v>
      </x:c>
      <x:c r="I391" t="str">
        <x:v>Cuk0727</x:v>
      </x:c>
      <x:c r="J391" s="36" t="n">
        <x:v>46388</x:v>
      </x:c>
      <x:c r="K391" s="38" t="n">
        <x:v>11.193459759999996</x:v>
      </x:c>
      <x:c r="L391"/>
      <x:c r="M391" s="36"/>
      <x:c r="N391" s="38"/>
      <x:c r="O391" s="38" t="n">
        <x:v>69.59998886400001</x:v>
      </x:c>
      <x:c r="P391" s="38" t="n">
        <x:v>0</x:v>
      </x:c>
      <x:c r="Q391" t="str">
        <x:v>OK</x:v>
      </x:c>
    </x:row>
    <x:row r="392">
      <x:c r="A392" s="36" t="n">
        <x:v>46236</x:v>
      </x:c>
      <x:c r="B392" t="str">
        <x:v>Šakotis</x:v>
      </x:c>
      <x:c r="C392" t="str">
        <x:v>L326</x:v>
      </x:c>
      <x:c r="D392" t="str">
        <x:v>Margarinas Šakočiui "Alvas"</x:v>
      </x:c>
      <x:c r="E392" s="38" t="n">
        <x:v>69.59998886400001</x:v>
      </x:c>
      <x:c r="F392" t="str">
        <x:v>MarA0630</x:v>
      </x:c>
      <x:c r="G392" s="36" t="n">
        <x:v>46306</x:v>
      </x:c>
      <x:c r="H392" s="38" t="n">
        <x:v>20.306323999999904</x:v>
      </x:c>
      <x:c r="I392" t="str">
        <x:v>MarA0730</x:v>
      </x:c>
      <x:c r="J392" s="36" t="n">
        <x:v>46322</x:v>
      </x:c>
      <x:c r="K392" s="38" t="n">
        <x:v>49.29366486400011</x:v>
      </x:c>
      <x:c r="L392"/>
      <x:c r="M392" s="36"/>
      <x:c r="N392" s="38"/>
      <x:c r="O392" s="38" t="n">
        <x:v>69.59998886400001</x:v>
      </x:c>
      <x:c r="P392" s="38" t="n">
        <x:v>0</x:v>
      </x:c>
      <x:c r="Q392" t="str">
        <x:v>OK</x:v>
      </x:c>
    </x:row>
    <x:row r="393">
      <x:c r="A393" s="36" t="n">
        <x:v>46236</x:v>
      </x:c>
      <x:c r="B393" t="str">
        <x:v>Šakotis</x:v>
      </x:c>
      <x:c r="C393" t="str">
        <x:v>L326</x:v>
      </x:c>
      <x:c r="D393" t="str">
        <x:v>Kvapnioji medžiaga</x:v>
      </x:c>
      <x:c r="E393" s="38" t="n">
        <x:v>0.23199814400000004</x:v>
      </x:c>
      <x:c r="F393" t="str">
        <x:v>Kvp0630</x:v>
      </x:c>
      <x:c r="G393" s="36" t="n">
        <x:v>46388</x:v>
      </x:c>
      <x:c r="H393" s="38" t="n">
        <x:v>0.23199814400000004</x:v>
      </x:c>
      <x:c r="I393"/>
      <x:c r="J393" s="36"/>
      <x:c r="K393" s="38"/>
      <x:c r="L393"/>
      <x:c r="M393" s="36"/>
      <x:c r="N393" s="38"/>
      <x:c r="O393" s="38" t="n">
        <x:v>0.23199814400000004</x:v>
      </x:c>
      <x:c r="P393" s="38" t="n">
        <x:v>0</x:v>
      </x:c>
      <x:c r="Q393" t="str">
        <x:v>OK</x:v>
      </x:c>
    </x:row>
    <x:row r="394">
      <x:c r="A394" s="36" t="n">
        <x:v>46236</x:v>
      </x:c>
      <x:c r="B394" t="str">
        <x:v>Šakotis</x:v>
      </x:c>
      <x:c r="C394" t="str">
        <x:v>L326</x:v>
      </x:c>
      <x:c r="D394" t="str">
        <x:v>Ciberžolė</x:v>
      </x:c>
      <x:c r="E394" s="38" t="n">
        <x:v>0.8119935040000001</x:v>
      </x:c>
      <x:c r="F394" t="str">
        <x:v>Cib0630</x:v>
      </x:c>
      <x:c r="G394" s="36" t="n">
        <x:v>46573</x:v>
      </x:c>
      <x:c r="H394" s="38" t="n">
        <x:v>0.8119935040000001</x:v>
      </x:c>
      <x:c r="I394"/>
      <x:c r="J394" s="36"/>
      <x:c r="K394" s="38"/>
      <x:c r="L394"/>
      <x:c r="M394" s="36"/>
      <x:c r="N394" s="38"/>
      <x:c r="O394" s="38" t="n">
        <x:v>0.8119935040000001</x:v>
      </x:c>
      <x:c r="P394" s="38" t="n">
        <x:v>0</x:v>
      </x:c>
      <x:c r="Q394" t="str">
        <x:v>OK</x:v>
      </x:c>
    </x:row>
    <x:row r="395">
      <x:c r="A395" s="36" t="n">
        <x:v>46236</x:v>
      </x:c>
      <x:c r="B395" t="str">
        <x:v>Šakotis</x:v>
      </x:c>
      <x:c r="C395" t="str">
        <x:v>L326</x:v>
      </x:c>
      <x:c r="D395" t="str">
        <x:v>Vanduo</x:v>
      </x:c>
      <x:c r="E395" s="38" t="n">
        <x:v>11.59786096</x:v>
      </x:c>
      <x:c r="F395" t="str">
        <x:v>Netaikoma</x:v>
      </x:c>
      <x:c r="G395" s="36"/>
      <x:c r="H395" s="38" t="n">
        <x:v>11.59786096</x:v>
      </x:c>
      <x:c r="I395"/>
      <x:c r="J395" s="36"/>
      <x:c r="K395" s="38"/>
      <x:c r="L395"/>
      <x:c r="M395" s="36"/>
      <x:c r="N395" s="38"/>
      <x:c r="O395" s="38" t="n">
        <x:v>11.59786096</x:v>
      </x:c>
      <x:c r="P395" s="38" t="n">
        <x:v>0</x:v>
      </x:c>
      <x:c r="Q395" t="str">
        <x:v>OK</x:v>
      </x:c>
    </x:row>
    <x:row r="396">
      <x:c r="A396" s="36" t="n">
        <x:v>46237</x:v>
      </x:c>
      <x:c r="B396" t="str">
        <x:v>Šakotis</x:v>
      </x:c>
      <x:c r="C396" t="str">
        <x:v>L326</x:v>
      </x:c>
      <x:c r="D396" t="str">
        <x:v>Miltai</x:v>
      </x:c>
      <x:c r="E396" s="38" t="n">
        <x:v>127.99997952000001</x:v>
      </x:c>
      <x:c r="F396" t="str">
        <x:v>Mil0727</x:v>
      </x:c>
      <x:c r="G396" s="36" t="n">
        <x:v>46547</x:v>
      </x:c>
      <x:c r="H396" s="38" t="n">
        <x:v>127.99997952000001</x:v>
      </x:c>
      <x:c r="I396"/>
      <x:c r="J396" s="36"/>
      <x:c r="K396" s="38"/>
      <x:c r="L396"/>
      <x:c r="M396" s="36"/>
      <x:c r="N396" s="38"/>
      <x:c r="O396" s="38" t="n">
        <x:v>127.99997952000001</x:v>
      </x:c>
      <x:c r="P396" s="38" t="n">
        <x:v>0</x:v>
      </x:c>
      <x:c r="Q396" t="str">
        <x:v>OK</x:v>
      </x:c>
    </x:row>
    <x:row r="397">
      <x:c r="A397" s="36" t="n">
        <x:v>46237</x:v>
      </x:c>
      <x:c r="B397" t="str">
        <x:v>Šakotis</x:v>
      </x:c>
      <x:c r="C397" t="str">
        <x:v>L326</x:v>
      </x:c>
      <x:c r="D397" t="str">
        <x:v>Pienas</x:v>
      </x:c>
      <x:c r="E397" s="38" t="n">
        <x:v>47.999992320000004</x:v>
      </x:c>
      <x:c r="F397" t="str">
        <x:v>P0729</x:v>
      </x:c>
      <x:c r="G397" s="36" t="n">
        <x:v>46238</x:v>
      </x:c>
      <x:c r="H397" s="38" t="n">
        <x:v>17.800032351999988</x:v>
      </x:c>
      <x:c r="I397" t="str">
        <x:v>P0803</x:v>
      </x:c>
      <x:c r="J397" s="36" t="n">
        <x:v>46241</x:v>
      </x:c>
      <x:c r="K397" s="38" t="n">
        <x:v>30.199959968000016</x:v>
      </x:c>
      <x:c r="L397"/>
      <x:c r="M397" s="36"/>
      <x:c r="N397" s="38"/>
      <x:c r="O397" s="38" t="n">
        <x:v>47.999992320000004</x:v>
      </x:c>
      <x:c r="P397" s="38" t="n">
        <x:v>0</x:v>
      </x:c>
      <x:c r="Q397" t="str">
        <x:v>OK</x:v>
      </x:c>
    </x:row>
    <x:row r="398">
      <x:c r="A398" s="36" t="n">
        <x:v>46237</x:v>
      </x:c>
      <x:c r="B398" t="str">
        <x:v>Šakotis</x:v>
      </x:c>
      <x:c r="C398" t="str">
        <x:v>L326</x:v>
      </x:c>
      <x:c r="D398" t="str">
        <x:v>Kiaušiniai</x:v>
      </x:c>
      <x:c r="E398" s="38" t="n">
        <x:v>175.9998464</x:v>
      </x:c>
      <x:c r="F398" t="str">
        <x:v>K0803</x:v>
      </x:c>
      <x:c r="G398" s="36" t="n">
        <x:v>46257</x:v>
      </x:c>
      <x:c r="H398" s="38" t="n">
        <x:v>175.9998464</x:v>
      </x:c>
      <x:c r="I398"/>
      <x:c r="J398" s="36"/>
      <x:c r="K398" s="38"/>
      <x:c r="L398"/>
      <x:c r="M398" s="36"/>
      <x:c r="N398" s="38"/>
      <x:c r="O398" s="38" t="n">
        <x:v>175.9998464</x:v>
      </x:c>
      <x:c r="P398" s="38" t="n">
        <x:v>0</x:v>
      </x:c>
      <x:c r="Q398" t="str">
        <x:v>OK</x:v>
      </x:c>
    </x:row>
    <x:row r="399">
      <x:c r="A399" s="36" t="n">
        <x:v>46237</x:v>
      </x:c>
      <x:c r="B399" t="str">
        <x:v>Šakotis</x:v>
      </x:c>
      <x:c r="C399" t="str">
        <x:v>L326</x:v>
      </x:c>
      <x:c r="D399" t="str">
        <x:v>Cukrus</x:v>
      </x:c>
      <x:c r="E399" s="38" t="n">
        <x:v>95.99998464000001</x:v>
      </x:c>
      <x:c r="F399" t="str">
        <x:v>Cuk0727</x:v>
      </x:c>
      <x:c r="G399" s="36" t="n">
        <x:v>46388</x:v>
      </x:c>
      <x:c r="H399" s="38" t="n">
        <x:v>95.99998464000001</x:v>
      </x:c>
      <x:c r="I399"/>
      <x:c r="J399" s="36"/>
      <x:c r="K399" s="38"/>
      <x:c r="L399"/>
      <x:c r="M399" s="36"/>
      <x:c r="N399" s="38"/>
      <x:c r="O399" s="38" t="n">
        <x:v>95.99998464000001</x:v>
      </x:c>
      <x:c r="P399" s="38" t="n">
        <x:v>0</x:v>
      </x:c>
      <x:c r="Q399" t="str">
        <x:v>OK</x:v>
      </x:c>
    </x:row>
    <x:row r="400">
      <x:c r="A400" s="36" t="n">
        <x:v>46237</x:v>
      </x:c>
      <x:c r="B400" t="str">
        <x:v>Šakotis</x:v>
      </x:c>
      <x:c r="C400" t="str">
        <x:v>L326</x:v>
      </x:c>
      <x:c r="D400" t="str">
        <x:v>Margarinas Šakočiui "Alvas"</x:v>
      </x:c>
      <x:c r="E400" s="38" t="n">
        <x:v>95.99998464000001</x:v>
      </x:c>
      <x:c r="F400" t="str">
        <x:v>MarA0730</x:v>
      </x:c>
      <x:c r="G400" s="36" t="n">
        <x:v>46322</x:v>
      </x:c>
      <x:c r="H400" s="38" t="n">
        <x:v>95.99998464000001</x:v>
      </x:c>
      <x:c r="I400"/>
      <x:c r="J400" s="36"/>
      <x:c r="K400" s="38"/>
      <x:c r="L400"/>
      <x:c r="M400" s="36"/>
      <x:c r="N400" s="38"/>
      <x:c r="O400" s="38" t="n">
        <x:v>95.99998464000001</x:v>
      </x:c>
      <x:c r="P400" s="38" t="n">
        <x:v>0</x:v>
      </x:c>
      <x:c r="Q400" t="str">
        <x:v>OK</x:v>
      </x:c>
    </x:row>
    <x:row r="401">
      <x:c r="A401" s="36" t="n">
        <x:v>46237</x:v>
      </x:c>
      <x:c r="B401" t="str">
        <x:v>Šakotis</x:v>
      </x:c>
      <x:c r="C401" t="str">
        <x:v>L326</x:v>
      </x:c>
      <x:c r="D401" t="str">
        <x:v>Kvapnioji medžiaga</x:v>
      </x:c>
      <x:c r="E401" s="38" t="n">
        <x:v>0.31999744</x:v>
      </x:c>
      <x:c r="F401" t="str">
        <x:v>Kvp0630</x:v>
      </x:c>
      <x:c r="G401" s="36" t="n">
        <x:v>46388</x:v>
      </x:c>
      <x:c r="H401" s="38" t="n">
        <x:v>0.31999744</x:v>
      </x:c>
      <x:c r="I401"/>
      <x:c r="J401" s="36"/>
      <x:c r="K401" s="38"/>
      <x:c r="L401"/>
      <x:c r="M401" s="36"/>
      <x:c r="N401" s="38"/>
      <x:c r="O401" s="38" t="n">
        <x:v>0.31999744</x:v>
      </x:c>
      <x:c r="P401" s="38" t="n">
        <x:v>0</x:v>
      </x:c>
      <x:c r="Q401" t="str">
        <x:v>OK</x:v>
      </x:c>
    </x:row>
    <x:row r="402">
      <x:c r="A402" s="36" t="n">
        <x:v>46237</x:v>
      </x:c>
      <x:c r="B402" t="str">
        <x:v>Šakotis</x:v>
      </x:c>
      <x:c r="C402" t="str">
        <x:v>L326</x:v>
      </x:c>
      <x:c r="D402" t="str">
        <x:v>Ciberžolė</x:v>
      </x:c>
      <x:c r="E402" s="38" t="n">
        <x:v>1.1199910400000002</x:v>
      </x:c>
      <x:c r="F402" t="str">
        <x:v>Cib0630</x:v>
      </x:c>
      <x:c r="G402" s="36" t="n">
        <x:v>46573</x:v>
      </x:c>
      <x:c r="H402" s="38" t="n">
        <x:v>0.10220661199999981</x:v>
      </x:c>
      <x:c r="I402"/>
      <x:c r="J402" s="36"/>
      <x:c r="K402" s="38"/>
      <x:c r="L402"/>
      <x:c r="M402" s="36"/>
      <x:c r="N402" s="38"/>
      <x:c r="O402" s="38" t="n">
        <x:v>0.10220661199999981</x:v>
      </x:c>
      <x:c r="P402" s="38" t="n">
        <x:v>1.0177844280000004</x:v>
      </x:c>
      <x:c r="Q402" t="str">
        <x:v>TRŪKSTA / NĖRA GALIOJANČIOS PARTIJOS</x:v>
      </x:c>
    </x:row>
    <x:row r="403">
      <x:c r="A403" s="36" t="n">
        <x:v>46237</x:v>
      </x:c>
      <x:c r="B403" t="str">
        <x:v>Šakotis</x:v>
      </x:c>
      <x:c r="C403" t="str">
        <x:v>L326</x:v>
      </x:c>
      <x:c r="D403" t="str">
        <x:v>Vanduo</x:v>
      </x:c>
      <x:c r="E403" s="38" t="n">
        <x:v>15.997049600000002</x:v>
      </x:c>
      <x:c r="F403" t="str">
        <x:v>Netaikoma</x:v>
      </x:c>
      <x:c r="G403" s="36"/>
      <x:c r="H403" s="38" t="n">
        <x:v>15.997049600000002</x:v>
      </x:c>
      <x:c r="I403"/>
      <x:c r="J403" s="36"/>
      <x:c r="K403" s="38"/>
      <x:c r="L403"/>
      <x:c r="M403" s="36"/>
      <x:c r="N403" s="38"/>
      <x:c r="O403" s="38" t="n">
        <x:v>15.997049600000002</x:v>
      </x:c>
      <x:c r="P403" s="38" t="n">
        <x:v>0</x:v>
      </x:c>
      <x:c r="Q403" t="str">
        <x:v>OK</x:v>
      </x:c>
    </x:row>
    <x:row r="404">
      <x:c r="A404" s="36" t="n">
        <x:v>46237</x:v>
      </x:c>
      <x:c r="B404" t="str">
        <x:v>Trapus šakotis</x:v>
      </x:c>
      <x:c r="C404" t="str">
        <x:v>L326</x:v>
      </x:c>
      <x:c r="D404" t="str">
        <x:v>Miltai</x:v>
      </x:c>
      <x:c r="E404" s="38" t="n">
        <x:v>79.9999872</x:v>
      </x:c>
      <x:c r="F404" t="str">
        <x:v>Mil0727</x:v>
      </x:c>
      <x:c r="G404" s="36" t="n">
        <x:v>46547</x:v>
      </x:c>
      <x:c r="H404" s="38" t="n">
        <x:v>52.80880281599946</x:v>
      </x:c>
      <x:c r="I404" t="str">
        <x:v>Mil0803</x:v>
      </x:c>
      <x:c r="J404" s="36" t="n">
        <x:v>46581</x:v>
      </x:c>
      <x:c r="K404" s="38" t="n">
        <x:v>27.19118438400055</x:v>
      </x:c>
      <x:c r="L404"/>
      <x:c r="M404" s="36"/>
      <x:c r="N404" s="38"/>
      <x:c r="O404" s="38" t="n">
        <x:v>79.9999872</x:v>
      </x:c>
      <x:c r="P404" s="38" t="n">
        <x:v>0</x:v>
      </x:c>
      <x:c r="Q404" t="str">
        <x:v>OK</x:v>
      </x:c>
    </x:row>
    <x:row r="405">
      <x:c r="A405" s="36" t="n">
        <x:v>46237</x:v>
      </x:c>
      <x:c r="B405" t="str">
        <x:v>Trapus šakotis</x:v>
      </x:c>
      <x:c r="C405" t="str">
        <x:v>L326</x:v>
      </x:c>
      <x:c r="D405" t="str">
        <x:v>Grietinės mišinys</x:v>
      </x:c>
      <x:c r="E405" s="38" t="n">
        <x:v>57.59999392</x:v>
      </x:c>
      <x:c r="F405" t="str">
        <x:v>Gr0729</x:v>
      </x:c>
      <x:c r="G405" s="36" t="n">
        <x:v>46241</x:v>
      </x:c>
      <x:c r="H405" s="38" t="n">
        <x:v>6.000015200000007</x:v>
      </x:c>
      <x:c r="I405" t="str">
        <x:v>Gr0731</x:v>
      </x:c>
      <x:c r="J405" s="36" t="n">
        <x:v>46239</x:v>
      </x:c>
      <x:c r="K405" s="38" t="n">
        <x:v>51.599978719999996</x:v>
      </x:c>
      <x:c r="L405"/>
      <x:c r="M405" s="36"/>
      <x:c r="N405" s="38"/>
      <x:c r="O405" s="38" t="n">
        <x:v>57.59999392</x:v>
      </x:c>
      <x:c r="P405" s="38" t="n">
        <x:v>0</x:v>
      </x:c>
      <x:c r="Q405" t="str">
        <x:v>OK</x:v>
      </x:c>
    </x:row>
    <x:row r="406">
      <x:c r="A406" s="36" t="n">
        <x:v>46237</x:v>
      </x:c>
      <x:c r="B406" t="str">
        <x:v>Trapus šakotis</x:v>
      </x:c>
      <x:c r="C406" t="str">
        <x:v>L326</x:v>
      </x:c>
      <x:c r="D406" t="str">
        <x:v>Kiaušiniai</x:v>
      </x:c>
      <x:c r="E406" s="38" t="n">
        <x:v>79.9999872</x:v>
      </x:c>
      <x:c r="F406" t="str">
        <x:v>K0803</x:v>
      </x:c>
      <x:c r="G406" s="36" t="n">
        <x:v>46257</x:v>
      </x:c>
      <x:c r="H406" s="38" t="n">
        <x:v>79.9999872</x:v>
      </x:c>
      <x:c r="I406"/>
      <x:c r="J406" s="36"/>
      <x:c r="K406" s="38"/>
      <x:c r="L406"/>
      <x:c r="M406" s="36"/>
      <x:c r="N406" s="38"/>
      <x:c r="O406" s="38" t="n">
        <x:v>79.9999872</x:v>
      </x:c>
      <x:c r="P406" s="38" t="n">
        <x:v>0</x:v>
      </x:c>
      <x:c r="Q406" t="str">
        <x:v>OK</x:v>
      </x:c>
    </x:row>
    <x:row r="407">
      <x:c r="A407" s="36" t="n">
        <x:v>46237</x:v>
      </x:c>
      <x:c r="B407" t="str">
        <x:v>Trapus šakotis</x:v>
      </x:c>
      <x:c r="C407" t="str">
        <x:v>L326</x:v>
      </x:c>
      <x:c r="D407" t="str">
        <x:v>Cukrus</x:v>
      </x:c>
      <x:c r="E407" s="38" t="n">
        <x:v>47.999992320000004</x:v>
      </x:c>
      <x:c r="F407" t="str">
        <x:v>Cuk0727</x:v>
      </x:c>
      <x:c r="G407" s="36" t="n">
        <x:v>46388</x:v>
      </x:c>
      <x:c r="H407" s="38" t="n">
        <x:v>47.999992320000004</x:v>
      </x:c>
      <x:c r="I407"/>
      <x:c r="J407" s="36"/>
      <x:c r="K407" s="38"/>
      <x:c r="L407"/>
      <x:c r="M407" s="36"/>
      <x:c r="N407" s="38"/>
      <x:c r="O407" s="38" t="n">
        <x:v>47.999992320000004</x:v>
      </x:c>
      <x:c r="P407" s="38" t="n">
        <x:v>0</x:v>
      </x:c>
      <x:c r="Q407" t="str">
        <x:v>OK</x:v>
      </x:c>
    </x:row>
    <x:row r="408">
      <x:c r="A408" s="36" t="n">
        <x:v>46237</x:v>
      </x:c>
      <x:c r="B408" t="str">
        <x:v>Trapus šakotis</x:v>
      </x:c>
      <x:c r="C408" t="str">
        <x:v>L326</x:v>
      </x:c>
      <x:c r="D408" t="str">
        <x:v>Margarinas trapiam "IEVA"</x:v>
      </x:c>
      <x:c r="E408" s="38" t="n">
        <x:v>56.639923200000005</x:v>
      </x:c>
      <x:c r="F408" t="str">
        <x:v>MarI0702</x:v>
      </x:c>
      <x:c r="G408" s="36" t="n">
        <x:v>46373</x:v>
      </x:c>
      <x:c r="H408" s="38" t="n">
        <x:v>56.639923200000005</x:v>
      </x:c>
      <x:c r="I408"/>
      <x:c r="J408" s="36"/>
      <x:c r="K408" s="38"/>
      <x:c r="L408"/>
      <x:c r="M408" s="36"/>
      <x:c r="N408" s="38"/>
      <x:c r="O408" s="38" t="n">
        <x:v>56.639923200000005</x:v>
      </x:c>
      <x:c r="P408" s="38" t="n">
        <x:v>0</x:v>
      </x:c>
      <x:c r="Q408" t="str">
        <x:v>OK</x:v>
      </x:c>
    </x:row>
    <x:row r="409">
      <x:c r="A409" s="36" t="n">
        <x:v>46237</x:v>
      </x:c>
      <x:c r="B409" t="str">
        <x:v>Trapus šakotis</x:v>
      </x:c>
      <x:c r="C409" t="str">
        <x:v>L326</x:v>
      </x:c>
      <x:c r="D409"/>
      <x:c r="E409" s="38"/>
      <x:c r="F409"/>
      <x:c r="G409" s="36"/>
      <x:c r="H409" s="38"/>
      <x:c r="I409"/>
      <x:c r="J409" s="36"/>
      <x:c r="K409" s="38"/>
      <x:c r="L409"/>
      <x:c r="M409" s="36"/>
      <x:c r="N409" s="38"/>
      <x:c r="O409" s="38"/>
      <x:c r="P409" s="38"/>
      <x:c r="Q409"/>
    </x:row>
    <x:row r="410">
      <x:c r="A410" s="36" t="n">
        <x:v>46237</x:v>
      </x:c>
      <x:c r="B410" t="str">
        <x:v>Trapus šakotis</x:v>
      </x:c>
      <x:c r="C410" t="str">
        <x:v>L326</x:v>
      </x:c>
      <x:c r="D410"/>
      <x:c r="E410" s="38"/>
      <x:c r="F410"/>
      <x:c r="G410" s="36"/>
      <x:c r="H410" s="38"/>
      <x:c r="I410"/>
      <x:c r="J410" s="36"/>
      <x:c r="K410" s="38"/>
      <x:c r="L410"/>
      <x:c r="M410" s="36"/>
      <x:c r="N410" s="38"/>
      <x:c r="O410" s="38"/>
      <x:c r="P410" s="38"/>
      <x:c r="Q410"/>
    </x:row>
    <x:row r="411">
      <x:c r="A411" s="36" t="n">
        <x:v>46237</x:v>
      </x:c>
      <x:c r="B411" t="str">
        <x:v>Trapus šakotis</x:v>
      </x:c>
      <x:c r="C411" t="str">
        <x:v>L326</x:v>
      </x:c>
      <x:c r="D411"/>
      <x:c r="E411" s="38"/>
      <x:c r="F411"/>
      <x:c r="G411" s="36"/>
      <x:c r="H411" s="38"/>
      <x:c r="I411"/>
      <x:c r="J411" s="36"/>
      <x:c r="K411" s="38"/>
      <x:c r="L411"/>
      <x:c r="M411" s="36"/>
      <x:c r="N411" s="38"/>
      <x:c r="O411" s="38"/>
      <x:c r="P411" s="38"/>
      <x:c r="Q411"/>
    </x:row>
    <x:row r="412">
      <x:c r="A412" s="36" t="n">
        <x:v>46238</x:v>
      </x:c>
      <x:c r="B412" t="str">
        <x:v>Šakotis</x:v>
      </x:c>
      <x:c r="C412" t="str">
        <x:v>L326</x:v>
      </x:c>
      <x:c r="D412" t="str">
        <x:v>Miltai</x:v>
      </x:c>
      <x:c r="E412" s="38" t="n">
        <x:v>111.59998214400001</x:v>
      </x:c>
      <x:c r="F412" t="str">
        <x:v>Mil0803</x:v>
      </x:c>
      <x:c r="G412" s="36" t="n">
        <x:v>46581</x:v>
      </x:c>
      <x:c r="H412" s="38" t="n">
        <x:v>111.59998214400001</x:v>
      </x:c>
      <x:c r="I412"/>
      <x:c r="J412" s="36"/>
      <x:c r="K412" s="38"/>
      <x:c r="L412"/>
      <x:c r="M412" s="36"/>
      <x:c r="N412" s="38"/>
      <x:c r="O412" s="38" t="n">
        <x:v>111.59998214400001</x:v>
      </x:c>
      <x:c r="P412" s="38" t="n">
        <x:v>0</x:v>
      </x:c>
      <x:c r="Q412" t="str">
        <x:v>OK</x:v>
      </x:c>
    </x:row>
    <x:row r="413">
      <x:c r="A413" s="36" t="n">
        <x:v>46238</x:v>
      </x:c>
      <x:c r="B413" t="str">
        <x:v>Šakotis</x:v>
      </x:c>
      <x:c r="C413" t="str">
        <x:v>L326</x:v>
      </x:c>
      <x:c r="D413" t="str">
        <x:v>Pienas</x:v>
      </x:c>
      <x:c r="E413" s="38" t="n">
        <x:v>41.849993304</x:v>
      </x:c>
      <x:c r="F413" t="str">
        <x:v>P0803</x:v>
      </x:c>
      <x:c r="G413" s="36" t="n">
        <x:v>46241</x:v>
      </x:c>
      <x:c r="H413" s="38" t="n">
        <x:v>41.849993304</x:v>
      </x:c>
      <x:c r="I413"/>
      <x:c r="J413" s="36"/>
      <x:c r="K413" s="38"/>
      <x:c r="L413"/>
      <x:c r="M413" s="36"/>
      <x:c r="N413" s="38"/>
      <x:c r="O413" s="38" t="n">
        <x:v>41.849993304</x:v>
      </x:c>
      <x:c r="P413" s="38" t="n">
        <x:v>0</x:v>
      </x:c>
      <x:c r="Q413" t="str">
        <x:v>OK</x:v>
      </x:c>
    </x:row>
    <x:row r="414">
      <x:c r="A414" s="36" t="n">
        <x:v>46238</x:v>
      </x:c>
      <x:c r="B414" t="str">
        <x:v>Šakotis</x:v>
      </x:c>
      <x:c r="C414" t="str">
        <x:v>L326</x:v>
      </x:c>
      <x:c r="D414" t="str">
        <x:v>Kiaušiniai</x:v>
      </x:c>
      <x:c r="E414" s="38" t="n">
        <x:v>153.44986608</x:v>
      </x:c>
      <x:c r="F414" t="str">
        <x:v>K0803</x:v>
      </x:c>
      <x:c r="G414" s="36" t="n">
        <x:v>46257</x:v>
      </x:c>
      <x:c r="H414" s="38" t="n">
        <x:v>153.44986608</x:v>
      </x:c>
      <x:c r="I414"/>
      <x:c r="J414" s="36"/>
      <x:c r="K414" s="38"/>
      <x:c r="L414"/>
      <x:c r="M414" s="36"/>
      <x:c r="N414" s="38"/>
      <x:c r="O414" s="38" t="n">
        <x:v>153.44986608</x:v>
      </x:c>
      <x:c r="P414" s="38" t="n">
        <x:v>0</x:v>
      </x:c>
      <x:c r="Q414" t="str">
        <x:v>OK</x:v>
      </x:c>
    </x:row>
    <x:row r="415">
      <x:c r="A415" s="36" t="n">
        <x:v>46238</x:v>
      </x:c>
      <x:c r="B415" t="str">
        <x:v>Šakotis</x:v>
      </x:c>
      <x:c r="C415" t="str">
        <x:v>L326</x:v>
      </x:c>
      <x:c r="D415" t="str">
        <x:v>Cukrus</x:v>
      </x:c>
      <x:c r="E415" s="38" t="n">
        <x:v>83.699986608</x:v>
      </x:c>
      <x:c r="F415" t="str">
        <x:v>Cuk0727</x:v>
      </x:c>
      <x:c r="G415" s="36" t="n">
        <x:v>46388</x:v>
      </x:c>
      <x:c r="H415" s="38" t="n">
        <x:v>83.699986608</x:v>
      </x:c>
      <x:c r="I415"/>
      <x:c r="J415" s="36"/>
      <x:c r="K415" s="38"/>
      <x:c r="L415"/>
      <x:c r="M415" s="36"/>
      <x:c r="N415" s="38"/>
      <x:c r="O415" s="38" t="n">
        <x:v>83.699986608</x:v>
      </x:c>
      <x:c r="P415" s="38" t="n">
        <x:v>0</x:v>
      </x:c>
      <x:c r="Q415" t="str">
        <x:v>OK</x:v>
      </x:c>
    </x:row>
    <x:row r="416">
      <x:c r="A416" s="36" t="n">
        <x:v>46238</x:v>
      </x:c>
      <x:c r="B416" t="str">
        <x:v>Šakotis</x:v>
      </x:c>
      <x:c r="C416" t="str">
        <x:v>L326</x:v>
      </x:c>
      <x:c r="D416" t="str">
        <x:v>Margarinas Šakočiui "Alvas"</x:v>
      </x:c>
      <x:c r="E416" s="38" t="n">
        <x:v>83.699986608</x:v>
      </x:c>
      <x:c r="F416" t="str">
        <x:v>MarA0730</x:v>
      </x:c>
      <x:c r="G416" s="36" t="n">
        <x:v>46322</x:v>
      </x:c>
      <x:c r="H416" s="38" t="n">
        <x:v>83.699986608</x:v>
      </x:c>
      <x:c r="I416"/>
      <x:c r="J416" s="36"/>
      <x:c r="K416" s="38"/>
      <x:c r="L416"/>
      <x:c r="M416" s="36"/>
      <x:c r="N416" s="38"/>
      <x:c r="O416" s="38" t="n">
        <x:v>83.699986608</x:v>
      </x:c>
      <x:c r="P416" s="38" t="n">
        <x:v>0</x:v>
      </x:c>
      <x:c r="Q416" t="str">
        <x:v>OK</x:v>
      </x:c>
    </x:row>
    <x:row r="417">
      <x:c r="A417" s="36" t="n">
        <x:v>46238</x:v>
      </x:c>
      <x:c r="B417" t="str">
        <x:v>Šakotis</x:v>
      </x:c>
      <x:c r="C417" t="str">
        <x:v>L326</x:v>
      </x:c>
      <x:c r="D417" t="str">
        <x:v>Kvapnioji medžiaga</x:v>
      </x:c>
      <x:c r="E417" s="38" t="n">
        <x:v>0.27899776800000003</x:v>
      </x:c>
      <x:c r="F417" t="str">
        <x:v>Kvp0630</x:v>
      </x:c>
      <x:c r="G417" s="36" t="n">
        <x:v>46388</x:v>
      </x:c>
      <x:c r="H417" s="38" t="n">
        <x:v>0.27899776800000003</x:v>
      </x:c>
      <x:c r="I417"/>
      <x:c r="J417" s="36"/>
      <x:c r="K417" s="38"/>
      <x:c r="L417"/>
      <x:c r="M417" s="36"/>
      <x:c r="N417" s="38"/>
      <x:c r="O417" s="38" t="n">
        <x:v>0.27899776800000003</x:v>
      </x:c>
      <x:c r="P417" s="38" t="n">
        <x:v>0</x:v>
      </x:c>
      <x:c r="Q417" t="str">
        <x:v>OK</x:v>
      </x:c>
    </x:row>
    <x:row r="418">
      <x:c r="A418" s="36" t="n">
        <x:v>46238</x:v>
      </x:c>
      <x:c r="B418" t="str">
        <x:v>Šakotis</x:v>
      </x:c>
      <x:c r="C418" t="str">
        <x:v>L326</x:v>
      </x:c>
      <x:c r="D418" t="str">
        <x:v>Ciberžolė</x:v>
      </x:c>
      <x:c r="E418" s="38" t="n">
        <x:v>0.9764921880000001</x:v>
      </x:c>
      <x:c r="F418"/>
      <x:c r="G418" s="36"/>
      <x:c r="H418" s="38"/>
      <x:c r="I418"/>
      <x:c r="J418" s="36"/>
      <x:c r="K418" s="38"/>
      <x:c r="L418"/>
      <x:c r="M418" s="36"/>
      <x:c r="N418" s="38"/>
      <x:c r="O418" s="38" t="n">
        <x:v>0</x:v>
      </x:c>
      <x:c r="P418" s="38" t="n">
        <x:v>0.9764921880000001</x:v>
      </x:c>
      <x:c r="Q418" t="str">
        <x:v>TRŪKSTA / NĖRA GALIOJANČIOS PARTIJOS</x:v>
      </x:c>
    </x:row>
    <x:row r="419">
      <x:c r="A419" s="36" t="n">
        <x:v>46238</x:v>
      </x:c>
      <x:c r="B419" t="str">
        <x:v>Šakotis</x:v>
      </x:c>
      <x:c r="C419" t="str">
        <x:v>L326</x:v>
      </x:c>
      <x:c r="D419" t="str">
        <x:v>Vanduo</x:v>
      </x:c>
      <x:c r="E419" s="38" t="n">
        <x:v>13.947427620000001</x:v>
      </x:c>
      <x:c r="F419" t="str">
        <x:v>Netaikoma</x:v>
      </x:c>
      <x:c r="G419" s="36"/>
      <x:c r="H419" s="38" t="n">
        <x:v>13.947427620000001</x:v>
      </x:c>
      <x:c r="I419"/>
      <x:c r="J419" s="36"/>
      <x:c r="K419" s="38"/>
      <x:c r="L419"/>
      <x:c r="M419" s="36"/>
      <x:c r="N419" s="38"/>
      <x:c r="O419" s="38" t="n">
        <x:v>13.947427620000001</x:v>
      </x:c>
      <x:c r="P419" s="38" t="n">
        <x:v>0</x:v>
      </x:c>
      <x:c r="Q419" t="str">
        <x:v>OK</x:v>
      </x:c>
    </x:row>
    <x:row r="420">
      <x:c r="A420" s="36" t="n">
        <x:v>46238</x:v>
      </x:c>
      <x:c r="B420" t="str">
        <x:v>Trapus šakotis</x:v>
      </x:c>
      <x:c r="C420" t="str">
        <x:v>L326</x:v>
      </x:c>
      <x:c r="D420" t="str">
        <x:v>Miltai</x:v>
      </x:c>
      <x:c r="E420" s="38" t="n">
        <x:v>39.9999936</x:v>
      </x:c>
      <x:c r="F420" t="str">
        <x:v>Mil0803</x:v>
      </x:c>
      <x:c r="G420" s="36" t="n">
        <x:v>46581</x:v>
      </x:c>
      <x:c r="H420" s="38" t="n">
        <x:v>39.9999936</x:v>
      </x:c>
      <x:c r="I420"/>
      <x:c r="J420" s="36"/>
      <x:c r="K420" s="38"/>
      <x:c r="L420"/>
      <x:c r="M420" s="36"/>
      <x:c r="N420" s="38"/>
      <x:c r="O420" s="38" t="n">
        <x:v>39.9999936</x:v>
      </x:c>
      <x:c r="P420" s="38" t="n">
        <x:v>0</x:v>
      </x:c>
      <x:c r="Q420" t="str">
        <x:v>OK</x:v>
      </x:c>
    </x:row>
    <x:row r="421">
      <x:c r="A421" s="36" t="n">
        <x:v>46238</x:v>
      </x:c>
      <x:c r="B421" t="str">
        <x:v>Trapus šakotis</x:v>
      </x:c>
      <x:c r="C421" t="str">
        <x:v>L326</x:v>
      </x:c>
      <x:c r="D421" t="str">
        <x:v>Grietinės mišinys</x:v>
      </x:c>
      <x:c r="E421" s="38" t="n">
        <x:v>28.79999696</x:v>
      </x:c>
      <x:c r="F421" t="str">
        <x:v>Gr0731</x:v>
      </x:c>
      <x:c r="G421" s="36" t="n">
        <x:v>46239</x:v>
      </x:c>
      <x:c r="H421" s="38" t="n">
        <x:v>28.79999696</x:v>
      </x:c>
      <x:c r="I421"/>
      <x:c r="J421" s="36"/>
      <x:c r="K421" s="38"/>
      <x:c r="L421"/>
      <x:c r="M421" s="36"/>
      <x:c r="N421" s="38"/>
      <x:c r="O421" s="38" t="n">
        <x:v>28.79999696</x:v>
      </x:c>
      <x:c r="P421" s="38" t="n">
        <x:v>0</x:v>
      </x:c>
      <x:c r="Q421" t="str">
        <x:v>OK</x:v>
      </x:c>
    </x:row>
    <x:row r="422">
      <x:c r="A422" s="36" t="n">
        <x:v>46238</x:v>
      </x:c>
      <x:c r="B422" t="str">
        <x:v>Trapus šakotis</x:v>
      </x:c>
      <x:c r="C422" t="str">
        <x:v>L326</x:v>
      </x:c>
      <x:c r="D422" t="str">
        <x:v>Kiaušiniai</x:v>
      </x:c>
      <x:c r="E422" s="38" t="n">
        <x:v>39.9999936</x:v>
      </x:c>
      <x:c r="F422" t="str">
        <x:v>K0803</x:v>
      </x:c>
      <x:c r="G422" s="36" t="n">
        <x:v>46257</x:v>
      </x:c>
      <x:c r="H422" s="38" t="n">
        <x:v>39.9999936</x:v>
      </x:c>
      <x:c r="I422"/>
      <x:c r="J422" s="36"/>
      <x:c r="K422" s="38"/>
      <x:c r="L422"/>
      <x:c r="M422" s="36"/>
      <x:c r="N422" s="38"/>
      <x:c r="O422" s="38" t="n">
        <x:v>39.9999936</x:v>
      </x:c>
      <x:c r="P422" s="38" t="n">
        <x:v>0</x:v>
      </x:c>
      <x:c r="Q422" t="str">
        <x:v>OK</x:v>
      </x:c>
    </x:row>
    <x:row r="423">
      <x:c r="A423" s="36" t="n">
        <x:v>46238</x:v>
      </x:c>
      <x:c r="B423" t="str">
        <x:v>Trapus šakotis</x:v>
      </x:c>
      <x:c r="C423" t="str">
        <x:v>L326</x:v>
      </x:c>
      <x:c r="D423" t="str">
        <x:v>Cukrus</x:v>
      </x:c>
      <x:c r="E423" s="38" t="n">
        <x:v>23.999996160000002</x:v>
      </x:c>
      <x:c r="F423" t="str">
        <x:v>Cuk0727</x:v>
      </x:c>
      <x:c r="G423" s="36" t="n">
        <x:v>46388</x:v>
      </x:c>
      <x:c r="H423" s="38" t="n">
        <x:v>23.999996160000002</x:v>
      </x:c>
      <x:c r="I423"/>
      <x:c r="J423" s="36"/>
      <x:c r="K423" s="38"/>
      <x:c r="L423"/>
      <x:c r="M423" s="36"/>
      <x:c r="N423" s="38"/>
      <x:c r="O423" s="38" t="n">
        <x:v>23.999996160000002</x:v>
      </x:c>
      <x:c r="P423" s="38" t="n">
        <x:v>0</x:v>
      </x:c>
      <x:c r="Q423" t="str">
        <x:v>OK</x:v>
      </x:c>
    </x:row>
    <x:row r="424">
      <x:c r="A424" s="36" t="n">
        <x:v>46238</x:v>
      </x:c>
      <x:c r="B424" t="str">
        <x:v>Trapus šakotis</x:v>
      </x:c>
      <x:c r="C424" t="str">
        <x:v>L326</x:v>
      </x:c>
      <x:c r="D424" t="str">
        <x:v>Margarinas trapiam "IEVA"</x:v>
      </x:c>
      <x:c r="E424" s="38" t="n">
        <x:v>28.319961600000003</x:v>
      </x:c>
      <x:c r="F424" t="str">
        <x:v>MarI0702</x:v>
      </x:c>
      <x:c r="G424" s="36" t="n">
        <x:v>46373</x:v>
      </x:c>
      <x:c r="H424" s="38" t="n">
        <x:v>28.319961600000003</x:v>
      </x:c>
      <x:c r="I424"/>
      <x:c r="J424" s="36"/>
      <x:c r="K424" s="38"/>
      <x:c r="L424"/>
      <x:c r="M424" s="36"/>
      <x:c r="N424" s="38"/>
      <x:c r="O424" s="38" t="n">
        <x:v>28.319961600000003</x:v>
      </x:c>
      <x:c r="P424" s="38" t="n">
        <x:v>0</x:v>
      </x:c>
      <x:c r="Q424" t="str">
        <x:v>OK</x:v>
      </x:c>
    </x:row>
    <x:row r="425">
      <x:c r="A425" s="36" t="n">
        <x:v>46238</x:v>
      </x:c>
      <x:c r="B425" t="str">
        <x:v>Trapus šakotis</x:v>
      </x:c>
      <x:c r="C425" t="str">
        <x:v>L326</x:v>
      </x:c>
      <x:c r="D425"/>
      <x:c r="E425" s="38"/>
      <x:c r="F425"/>
      <x:c r="G425" s="36"/>
      <x:c r="H425" s="38"/>
      <x:c r="I425"/>
      <x:c r="J425" s="36"/>
      <x:c r="K425" s="38"/>
      <x:c r="L425"/>
      <x:c r="M425" s="36"/>
      <x:c r="N425" s="38"/>
      <x:c r="O425" s="38"/>
      <x:c r="P425" s="38"/>
      <x:c r="Q425"/>
    </x:row>
    <x:row r="426">
      <x:c r="A426" s="36" t="n">
        <x:v>46238</x:v>
      </x:c>
      <x:c r="B426" t="str">
        <x:v>Trapus šakotis</x:v>
      </x:c>
      <x:c r="C426" t="str">
        <x:v>L326</x:v>
      </x:c>
      <x:c r="D426"/>
      <x:c r="E426" s="38"/>
      <x:c r="F426"/>
      <x:c r="G426" s="36"/>
      <x:c r="H426" s="38"/>
      <x:c r="I426"/>
      <x:c r="J426" s="36"/>
      <x:c r="K426" s="38"/>
      <x:c r="L426"/>
      <x:c r="M426" s="36"/>
      <x:c r="N426" s="38"/>
      <x:c r="O426" s="38"/>
      <x:c r="P426" s="38"/>
      <x:c r="Q426"/>
    </x:row>
    <x:row r="427">
      <x:c r="A427" s="36" t="n">
        <x:v>46238</x:v>
      </x:c>
      <x:c r="B427" t="str">
        <x:v>Trapus šakotis</x:v>
      </x:c>
      <x:c r="C427" t="str">
        <x:v>L326</x:v>
      </x:c>
      <x:c r="D427"/>
      <x:c r="E427" s="38"/>
      <x:c r="F427"/>
      <x:c r="G427" s="36"/>
      <x:c r="H427" s="38"/>
      <x:c r="I427"/>
      <x:c r="J427" s="36"/>
      <x:c r="K427" s="38"/>
      <x:c r="L427"/>
      <x:c r="M427" s="36"/>
      <x:c r="N427" s="38"/>
      <x:c r="O427" s="38"/>
      <x:c r="P427" s="38"/>
      <x:c r="Q427"/>
    </x:row>
    <x:row r="428">
      <x:c r="A428" s="36" t="n">
        <x:v>46239</x:v>
      </x:c>
      <x:c r="B428" t="str">
        <x:v>Trapus šakotis</x:v>
      </x:c>
      <x:c r="C428" t="str">
        <x:v>L326</x:v>
      </x:c>
      <x:c r="D428" t="str">
        <x:v>Miltai</x:v>
      </x:c>
      <x:c r="E428" s="38" t="n">
        <x:v>79.9999872</x:v>
      </x:c>
      <x:c r="F428" t="str">
        <x:v>Mil0803</x:v>
      </x:c>
      <x:c r="G428" s="36" t="n">
        <x:v>46581</x:v>
      </x:c>
      <x:c r="H428" s="38" t="n">
        <x:v>79.9999872</x:v>
      </x:c>
      <x:c r="I428"/>
      <x:c r="J428" s="36"/>
      <x:c r="K428" s="38"/>
      <x:c r="L428"/>
      <x:c r="M428" s="36"/>
      <x:c r="N428" s="38"/>
      <x:c r="O428" s="38" t="n">
        <x:v>79.9999872</x:v>
      </x:c>
      <x:c r="P428" s="38" t="n">
        <x:v>0</x:v>
      </x:c>
      <x:c r="Q428" t="str">
        <x:v>OK</x:v>
      </x:c>
    </x:row>
    <x:row r="429">
      <x:c r="A429" s="36" t="n">
        <x:v>46239</x:v>
      </x:c>
      <x:c r="B429" t="str">
        <x:v>Trapus šakotis</x:v>
      </x:c>
      <x:c r="C429" t="str">
        <x:v>L326</x:v>
      </x:c>
      <x:c r="D429" t="str">
        <x:v>Grietinės mišinys</x:v>
      </x:c>
      <x:c r="E429" s="38" t="n">
        <x:v>57.59999392</x:v>
      </x:c>
      <x:c r="F429" t="str">
        <x:v>Gr0731</x:v>
      </x:c>
      <x:c r="G429" s="36" t="n">
        <x:v>46239</x:v>
      </x:c>
      <x:c r="H429" s="38" t="n">
        <x:v>57.59999392</x:v>
      </x:c>
      <x:c r="I429"/>
      <x:c r="J429" s="36"/>
      <x:c r="K429" s="38"/>
      <x:c r="L429"/>
      <x:c r="M429" s="36"/>
      <x:c r="N429" s="38"/>
      <x:c r="O429" s="38" t="n">
        <x:v>57.59999392</x:v>
      </x:c>
      <x:c r="P429" s="38" t="n">
        <x:v>0</x:v>
      </x:c>
      <x:c r="Q429" t="str">
        <x:v>OK</x:v>
      </x:c>
    </x:row>
    <x:row r="430">
      <x:c r="A430" s="36" t="n">
        <x:v>46239</x:v>
      </x:c>
      <x:c r="B430" t="str">
        <x:v>Trapus šakotis</x:v>
      </x:c>
      <x:c r="C430" t="str">
        <x:v>L326</x:v>
      </x:c>
      <x:c r="D430" t="str">
        <x:v>Kiaušiniai</x:v>
      </x:c>
      <x:c r="E430" s="38" t="n">
        <x:v>79.9999872</x:v>
      </x:c>
      <x:c r="F430" t="str">
        <x:v>K0803</x:v>
      </x:c>
      <x:c r="G430" s="36" t="n">
        <x:v>46257</x:v>
      </x:c>
      <x:c r="H430" s="38" t="n">
        <x:v>79.9999872</x:v>
      </x:c>
      <x:c r="I430"/>
      <x:c r="J430" s="36"/>
      <x:c r="K430" s="38"/>
      <x:c r="L430"/>
      <x:c r="M430" s="36"/>
      <x:c r="N430" s="38"/>
      <x:c r="O430" s="38" t="n">
        <x:v>79.9999872</x:v>
      </x:c>
      <x:c r="P430" s="38" t="n">
        <x:v>0</x:v>
      </x:c>
      <x:c r="Q430" t="str">
        <x:v>OK</x:v>
      </x:c>
    </x:row>
    <x:row r="431">
      <x:c r="A431" s="36" t="n">
        <x:v>46239</x:v>
      </x:c>
      <x:c r="B431" t="str">
        <x:v>Trapus šakotis</x:v>
      </x:c>
      <x:c r="C431" t="str">
        <x:v>L326</x:v>
      </x:c>
      <x:c r="D431" t="str">
        <x:v>Cukrus</x:v>
      </x:c>
      <x:c r="E431" s="38" t="n">
        <x:v>47.999992320000004</x:v>
      </x:c>
      <x:c r="F431" t="str">
        <x:v>Cuk0727</x:v>
      </x:c>
      <x:c r="G431" s="36" t="n">
        <x:v>46388</x:v>
      </x:c>
      <x:c r="H431" s="38" t="n">
        <x:v>47.999992320000004</x:v>
      </x:c>
      <x:c r="I431"/>
      <x:c r="J431" s="36"/>
      <x:c r="K431" s="38"/>
      <x:c r="L431"/>
      <x:c r="M431" s="36"/>
      <x:c r="N431" s="38"/>
      <x:c r="O431" s="38" t="n">
        <x:v>47.999992320000004</x:v>
      </x:c>
      <x:c r="P431" s="38" t="n">
        <x:v>0</x:v>
      </x:c>
      <x:c r="Q431" t="str">
        <x:v>OK</x:v>
      </x:c>
    </x:row>
    <x:row r="432">
      <x:c r="A432" s="36" t="n">
        <x:v>46239</x:v>
      </x:c>
      <x:c r="B432" t="str">
        <x:v>Trapus šakotis</x:v>
      </x:c>
      <x:c r="C432" t="str">
        <x:v>L326</x:v>
      </x:c>
      <x:c r="D432" t="str">
        <x:v>Margarinas trapiam "IEVA"</x:v>
      </x:c>
      <x:c r="E432" s="38" t="n">
        <x:v>56.639923200000005</x:v>
      </x:c>
      <x:c r="F432" t="str">
        <x:v>MarI0702</x:v>
      </x:c>
      <x:c r="G432" s="36" t="n">
        <x:v>46373</x:v>
      </x:c>
      <x:c r="H432" s="38" t="n">
        <x:v>56.639923200000005</x:v>
      </x:c>
      <x:c r="I432"/>
      <x:c r="J432" s="36"/>
      <x:c r="K432" s="38"/>
      <x:c r="L432"/>
      <x:c r="M432" s="36"/>
      <x:c r="N432" s="38"/>
      <x:c r="O432" s="38" t="n">
        <x:v>56.639923200000005</x:v>
      </x:c>
      <x:c r="P432" s="38" t="n">
        <x:v>0</x:v>
      </x:c>
      <x:c r="Q432" t="str">
        <x:v>OK</x:v>
      </x:c>
    </x:row>
    <x:row r="433">
      <x:c r="A433" s="36" t="n">
        <x:v>46239</x:v>
      </x:c>
      <x:c r="B433" t="str">
        <x:v>Trapus šakotis</x:v>
      </x:c>
      <x:c r="C433" t="str">
        <x:v>L326</x:v>
      </x:c>
      <x:c r="D433"/>
      <x:c r="E433" s="38"/>
      <x:c r="F433"/>
      <x:c r="G433" s="36"/>
      <x:c r="H433" s="38"/>
      <x:c r="I433"/>
      <x:c r="J433" s="36"/>
      <x:c r="K433" s="38"/>
      <x:c r="L433"/>
      <x:c r="M433" s="36"/>
      <x:c r="N433" s="38"/>
      <x:c r="O433" s="38"/>
      <x:c r="P433" s="38"/>
      <x:c r="Q433"/>
    </x:row>
    <x:row r="434">
      <x:c r="A434" s="36" t="n">
        <x:v>46239</x:v>
      </x:c>
      <x:c r="B434" t="str">
        <x:v>Trapus šakotis</x:v>
      </x:c>
      <x:c r="C434" t="str">
        <x:v>L326</x:v>
      </x:c>
      <x:c r="D434"/>
      <x:c r="E434" s="38"/>
      <x:c r="F434"/>
      <x:c r="G434" s="36"/>
      <x:c r="H434" s="38"/>
      <x:c r="I434"/>
      <x:c r="J434" s="36"/>
      <x:c r="K434" s="38"/>
      <x:c r="L434"/>
      <x:c r="M434" s="36"/>
      <x:c r="N434" s="38"/>
      <x:c r="O434" s="38"/>
      <x:c r="P434" s="38"/>
      <x:c r="Q434"/>
    </x:row>
    <x:row r="435">
      <x:c r="A435" s="36" t="n">
        <x:v>46239</x:v>
      </x:c>
      <x:c r="B435" t="str">
        <x:v>Trapus šakotis</x:v>
      </x:c>
      <x:c r="C435" t="str">
        <x:v>L326</x:v>
      </x:c>
      <x:c r="D435"/>
      <x:c r="E435" s="38"/>
      <x:c r="F435"/>
      <x:c r="G435" s="36"/>
      <x:c r="H435" s="38"/>
      <x:c r="I435"/>
      <x:c r="J435" s="36"/>
      <x:c r="K435" s="38"/>
      <x:c r="L435"/>
      <x:c r="M435" s="36"/>
      <x:c r="N435" s="38"/>
      <x:c r="O435" s="38"/>
      <x:c r="P435" s="38"/>
      <x:c r="Q435"/>
    </x:row>
    <x:row r="436">
      <x:c r="A436" s="36" t="n">
        <x:v>46239</x:v>
      </x:c>
      <x:c r="B436" t="str">
        <x:v>Šakotis su sviestu</x:v>
      </x:c>
      <x:c r="C436" t="str">
        <x:v>L326</x:v>
      </x:c>
      <x:c r="D436" t="str">
        <x:v>Miltai</x:v>
      </x:c>
      <x:c r="E436" s="38" t="n">
        <x:v>107.19998284799999</x:v>
      </x:c>
      <x:c r="F436" t="str">
        <x:v>Mil0803</x:v>
      </x:c>
      <x:c r="G436" s="36" t="n">
        <x:v>46581</x:v>
      </x:c>
      <x:c r="H436" s="38" t="n">
        <x:v>107.19998284799999</x:v>
      </x:c>
      <x:c r="I436"/>
      <x:c r="J436" s="36"/>
      <x:c r="K436" s="38"/>
      <x:c r="L436"/>
      <x:c r="M436" s="36"/>
      <x:c r="N436" s="38"/>
      <x:c r="O436" s="38" t="n">
        <x:v>107.19998284799999</x:v>
      </x:c>
      <x:c r="P436" s="38" t="n">
        <x:v>0</x:v>
      </x:c>
      <x:c r="Q436" t="str">
        <x:v>OK</x:v>
      </x:c>
    </x:row>
    <x:row r="437">
      <x:c r="A437" s="36" t="n">
        <x:v>46239</x:v>
      </x:c>
      <x:c r="B437" t="str">
        <x:v>Šakotis su sviestu</x:v>
      </x:c>
      <x:c r="C437" t="str">
        <x:v>L326</x:v>
      </x:c>
      <x:c r="D437" t="str">
        <x:v>Pienas</x:v>
      </x:c>
      <x:c r="E437" s="38" t="n">
        <x:v>40.199993568000004</x:v>
      </x:c>
      <x:c r="F437" t="str">
        <x:v>P0803</x:v>
      </x:c>
      <x:c r="G437" s="36" t="n">
        <x:v>46241</x:v>
      </x:c>
      <x:c r="H437" s="38" t="n">
        <x:v>40.199993568000004</x:v>
      </x:c>
      <x:c r="I437"/>
      <x:c r="J437" s="36"/>
      <x:c r="K437" s="38"/>
      <x:c r="L437"/>
      <x:c r="M437" s="36"/>
      <x:c r="N437" s="38"/>
      <x:c r="O437" s="38" t="n">
        <x:v>40.199993568000004</x:v>
      </x:c>
      <x:c r="P437" s="38" t="n">
        <x:v>0</x:v>
      </x:c>
      <x:c r="Q437" t="str">
        <x:v>OK</x:v>
      </x:c>
    </x:row>
    <x:row r="438">
      <x:c r="A438" s="36" t="n">
        <x:v>46239</x:v>
      </x:c>
      <x:c r="B438" t="str">
        <x:v>Šakotis su sviestu</x:v>
      </x:c>
      <x:c r="C438" t="str">
        <x:v>L326</x:v>
      </x:c>
      <x:c r="D438" t="str">
        <x:v>Kiaušiniai</x:v>
      </x:c>
      <x:c r="E438" s="38" t="n">
        <x:v>147.39987136</x:v>
      </x:c>
      <x:c r="F438" t="str">
        <x:v>K0803</x:v>
      </x:c>
      <x:c r="G438" s="36" t="n">
        <x:v>46257</x:v>
      </x:c>
      <x:c r="H438" s="38" t="n">
        <x:v>147.39987136</x:v>
      </x:c>
      <x:c r="I438"/>
      <x:c r="J438" s="36"/>
      <x:c r="K438" s="38"/>
      <x:c r="L438"/>
      <x:c r="M438" s="36"/>
      <x:c r="N438" s="38"/>
      <x:c r="O438" s="38" t="n">
        <x:v>147.39987136</x:v>
      </x:c>
      <x:c r="P438" s="38" t="n">
        <x:v>0</x:v>
      </x:c>
      <x:c r="Q438" t="str">
        <x:v>OK</x:v>
      </x:c>
    </x:row>
    <x:row r="439">
      <x:c r="A439" s="36" t="n">
        <x:v>46239</x:v>
      </x:c>
      <x:c r="B439" t="str">
        <x:v>Šakotis su sviestu</x:v>
      </x:c>
      <x:c r="C439" t="str">
        <x:v>L326</x:v>
      </x:c>
      <x:c r="D439" t="str">
        <x:v>Cukrus</x:v>
      </x:c>
      <x:c r="E439" s="38" t="n">
        <x:v>80.39998713600001</x:v>
      </x:c>
      <x:c r="F439" t="str">
        <x:v>Cuk0727</x:v>
      </x:c>
      <x:c r="G439" s="36" t="n">
        <x:v>46388</x:v>
      </x:c>
      <x:c r="H439" s="38" t="n">
        <x:v>80.39998713600001</x:v>
      </x:c>
      <x:c r="I439"/>
      <x:c r="J439" s="36"/>
      <x:c r="K439" s="38"/>
      <x:c r="L439"/>
      <x:c r="M439" s="36"/>
      <x:c r="N439" s="38"/>
      <x:c r="O439" s="38" t="n">
        <x:v>80.39998713600001</x:v>
      </x:c>
      <x:c r="P439" s="38" t="n">
        <x:v>0</x:v>
      </x:c>
      <x:c r="Q439" t="str">
        <x:v>OK</x:v>
      </x:c>
    </x:row>
    <x:row r="440">
      <x:c r="A440" s="36" t="n">
        <x:v>46239</x:v>
      </x:c>
      <x:c r="B440" t="str">
        <x:v>Šakotis su sviestu</x:v>
      </x:c>
      <x:c r="C440" t="str">
        <x:v>L326</x:v>
      </x:c>
      <x:c r="D440" t="str">
        <x:v>Sviestas</x:v>
      </x:c>
      <x:c r="E440" s="38" t="n">
        <x:v>80.39998713600001</x:v>
      </x:c>
      <x:c r="F440" t="str">
        <x:v>Sv0630</x:v>
      </x:c>
      <x:c r="G440" s="36" t="n">
        <x:v>46368</x:v>
      </x:c>
      <x:c r="H440" s="38" t="n">
        <x:v>80.39998713600001</x:v>
      </x:c>
      <x:c r="I440"/>
      <x:c r="J440" s="36"/>
      <x:c r="K440" s="38"/>
      <x:c r="L440"/>
      <x:c r="M440" s="36"/>
      <x:c r="N440" s="38"/>
      <x:c r="O440" s="38" t="n">
        <x:v>80.39998713600001</x:v>
      </x:c>
      <x:c r="P440" s="38" t="n">
        <x:v>0</x:v>
      </x:c>
      <x:c r="Q440" t="str">
        <x:v>OK</x:v>
      </x:c>
    </x:row>
    <x:row r="441">
      <x:c r="A441" s="36" t="n">
        <x:v>46239</x:v>
      </x:c>
      <x:c r="B441" t="str">
        <x:v>Šakotis su sviestu</x:v>
      </x:c>
      <x:c r="C441" t="str">
        <x:v>L326</x:v>
      </x:c>
      <x:c r="D441" t="str">
        <x:v>Kvapnioji medžiaga</x:v>
      </x:c>
      <x:c r="E441" s="38" t="n">
        <x:v>0.26799785600000003</x:v>
      </x:c>
      <x:c r="F441" t="str">
        <x:v>Kvp0630</x:v>
      </x:c>
      <x:c r="G441" s="36" t="n">
        <x:v>46388</x:v>
      </x:c>
      <x:c r="H441" s="38" t="n">
        <x:v>0.26799785600000003</x:v>
      </x:c>
      <x:c r="I441"/>
      <x:c r="J441" s="36"/>
      <x:c r="K441" s="38"/>
      <x:c r="L441"/>
      <x:c r="M441" s="36"/>
      <x:c r="N441" s="38"/>
      <x:c r="O441" s="38" t="n">
        <x:v>0.26799785600000003</x:v>
      </x:c>
      <x:c r="P441" s="38" t="n">
        <x:v>0</x:v>
      </x:c>
      <x:c r="Q441" t="str">
        <x:v>OK</x:v>
      </x:c>
    </x:row>
    <x:row r="442">
      <x:c r="A442" s="36" t="n">
        <x:v>46239</x:v>
      </x:c>
      <x:c r="B442" t="str">
        <x:v>Šakotis su sviestu</x:v>
      </x:c>
      <x:c r="C442" t="str">
        <x:v>L326</x:v>
      </x:c>
      <x:c r="D442" t="str">
        <x:v>Ciberžolė</x:v>
      </x:c>
      <x:c r="E442" s="38" t="n">
        <x:v>0.937992496</x:v>
      </x:c>
      <x:c r="F442" t="str">
        <x:v>Cib0805</x:v>
      </x:c>
      <x:c r="G442" s="36" t="n">
        <x:v>46895</x:v>
      </x:c>
      <x:c r="H442" s="38" t="n">
        <x:v>0.937992496</x:v>
      </x:c>
      <x:c r="I442"/>
      <x:c r="J442" s="36"/>
      <x:c r="K442" s="38"/>
      <x:c r="L442"/>
      <x:c r="M442" s="36"/>
      <x:c r="N442" s="38"/>
      <x:c r="O442" s="38" t="n">
        <x:v>0.937992496</x:v>
      </x:c>
      <x:c r="P442" s="38" t="n">
        <x:v>0</x:v>
      </x:c>
      <x:c r="Q442" t="str">
        <x:v>OK</x:v>
      </x:c>
    </x:row>
    <x:row r="443">
      <x:c r="A443" s="36" t="n">
        <x:v>46239</x:v>
      </x:c>
      <x:c r="B443" t="str">
        <x:v>Šakotis su sviestu</x:v>
      </x:c>
      <x:c r="C443" t="str">
        <x:v>L326</x:v>
      </x:c>
      <x:c r="D443" t="str">
        <x:v>Vanduo</x:v>
      </x:c>
      <x:c r="E443" s="38" t="n">
        <x:v>26.7997856</x:v>
      </x:c>
      <x:c r="F443" t="str">
        <x:v>Netaikoma</x:v>
      </x:c>
      <x:c r="G443" s="36"/>
      <x:c r="H443" s="38" t="n">
        <x:v>26.7997856</x:v>
      </x:c>
      <x:c r="I443"/>
      <x:c r="J443" s="36"/>
      <x:c r="K443" s="38"/>
      <x:c r="L443"/>
      <x:c r="M443" s="36"/>
      <x:c r="N443" s="38"/>
      <x:c r="O443" s="38" t="n">
        <x:v>26.7997856</x:v>
      </x:c>
      <x:c r="P443" s="38" t="n">
        <x:v>0</x:v>
      </x:c>
      <x:c r="Q443" t="str">
        <x:v>OK</x:v>
      </x:c>
    </x:row>
    <x:row r="444">
      <x:c r="A444" s="36" t="n">
        <x:v>46240</x:v>
      </x:c>
      <x:c r="B444" t="str">
        <x:v>Šakotis</x:v>
      </x:c>
      <x:c r="C444" t="str">
        <x:v>L326</x:v>
      </x:c>
      <x:c r="D444" t="str">
        <x:v>Miltai</x:v>
      </x:c>
      <x:c r="E444" s="38" t="n">
        <x:v>99.199984128</x:v>
      </x:c>
      <x:c r="F444" t="str">
        <x:v>Mil0803</x:v>
      </x:c>
      <x:c r="G444" s="36" t="n">
        <x:v>46581</x:v>
      </x:c>
      <x:c r="H444" s="38" t="n">
        <x:v>99.199984128</x:v>
      </x:c>
      <x:c r="I444"/>
      <x:c r="J444" s="36"/>
      <x:c r="K444" s="38"/>
      <x:c r="L444"/>
      <x:c r="M444" s="36"/>
      <x:c r="N444" s="38"/>
      <x:c r="O444" s="38" t="n">
        <x:v>99.199984128</x:v>
      </x:c>
      <x:c r="P444" s="38" t="n">
        <x:v>0</x:v>
      </x:c>
      <x:c r="Q444" t="str">
        <x:v>OK</x:v>
      </x:c>
    </x:row>
    <x:row r="445">
      <x:c r="A445" s="36" t="n">
        <x:v>46240</x:v>
      </x:c>
      <x:c r="B445" t="str">
        <x:v>Šakotis</x:v>
      </x:c>
      <x:c r="C445" t="str">
        <x:v>L326</x:v>
      </x:c>
      <x:c r="D445" t="str">
        <x:v>Pienas</x:v>
      </x:c>
      <x:c r="E445" s="38" t="n">
        <x:v>37.199994048</x:v>
      </x:c>
      <x:c r="F445" t="str">
        <x:v>P0803</x:v>
      </x:c>
      <x:c r="G445" s="36" t="n">
        <x:v>46241</x:v>
      </x:c>
      <x:c r="H445" s="38" t="n">
        <x:v>7.750053159999993</x:v>
      </x:c>
      <x:c r="I445" t="str">
        <x:v>P0805</x:v>
      </x:c>
      <x:c r="J445" s="36" t="n">
        <x:v>46245</x:v>
      </x:c>
      <x:c r="K445" s="38" t="n">
        <x:v>29.449940888000008</x:v>
      </x:c>
      <x:c r="L445"/>
      <x:c r="M445" s="36"/>
      <x:c r="N445" s="38"/>
      <x:c r="O445" s="38" t="n">
        <x:v>37.199994048</x:v>
      </x:c>
      <x:c r="P445" s="38" t="n">
        <x:v>0</x:v>
      </x:c>
      <x:c r="Q445" t="str">
        <x:v>OK</x:v>
      </x:c>
    </x:row>
    <x:row r="446">
      <x:c r="A446" s="36" t="n">
        <x:v>46240</x:v>
      </x:c>
      <x:c r="B446" t="str">
        <x:v>Šakotis</x:v>
      </x:c>
      <x:c r="C446" t="str">
        <x:v>L326</x:v>
      </x:c>
      <x:c r="D446" t="str">
        <x:v>Kiaušiniai</x:v>
      </x:c>
      <x:c r="E446" s="38" t="n">
        <x:v>136.39988096</x:v>
      </x:c>
      <x:c r="F446" t="str">
        <x:v>K0803</x:v>
      </x:c>
      <x:c r="G446" s="36" t="n">
        <x:v>46257</x:v>
      </x:c>
      <x:c r="H446" s="38" t="n">
        <x:v>136.39988096</x:v>
      </x:c>
      <x:c r="I446"/>
      <x:c r="J446" s="36"/>
      <x:c r="K446" s="38"/>
      <x:c r="L446"/>
      <x:c r="M446" s="36"/>
      <x:c r="N446" s="38"/>
      <x:c r="O446" s="38" t="n">
        <x:v>136.39988096</x:v>
      </x:c>
      <x:c r="P446" s="38" t="n">
        <x:v>0</x:v>
      </x:c>
      <x:c r="Q446" t="str">
        <x:v>OK</x:v>
      </x:c>
    </x:row>
    <x:row r="447">
      <x:c r="A447" s="36" t="n">
        <x:v>46240</x:v>
      </x:c>
      <x:c r="B447" t="str">
        <x:v>Šakotis</x:v>
      </x:c>
      <x:c r="C447" t="str">
        <x:v>L326</x:v>
      </x:c>
      <x:c r="D447" t="str">
        <x:v>Cukrus</x:v>
      </x:c>
      <x:c r="E447" s="38" t="n">
        <x:v>74.399988096</x:v>
      </x:c>
      <x:c r="F447" t="str">
        <x:v>Cuk0727</x:v>
      </x:c>
      <x:c r="G447" s="36" t="n">
        <x:v>46388</x:v>
      </x:c>
      <x:c r="H447" s="38" t="n">
        <x:v>74.399988096</x:v>
      </x:c>
      <x:c r="I447"/>
      <x:c r="J447" s="36"/>
      <x:c r="K447" s="38"/>
      <x:c r="L447"/>
      <x:c r="M447" s="36"/>
      <x:c r="N447" s="38"/>
      <x:c r="O447" s="38" t="n">
        <x:v>74.399988096</x:v>
      </x:c>
      <x:c r="P447" s="38" t="n">
        <x:v>0</x:v>
      </x:c>
      <x:c r="Q447" t="str">
        <x:v>OK</x:v>
      </x:c>
    </x:row>
    <x:row r="448">
      <x:c r="A448" s="36" t="n">
        <x:v>46240</x:v>
      </x:c>
      <x:c r="B448" t="str">
        <x:v>Šakotis</x:v>
      </x:c>
      <x:c r="C448" t="str">
        <x:v>L326</x:v>
      </x:c>
      <x:c r="D448" t="str">
        <x:v>Margarinas Šakočiui "Alvas"</x:v>
      </x:c>
      <x:c r="E448" s="38" t="n">
        <x:v>74.399988096</x:v>
      </x:c>
      <x:c r="F448" t="str">
        <x:v>MarA0730</x:v>
      </x:c>
      <x:c r="G448" s="36" t="n">
        <x:v>46322</x:v>
      </x:c>
      <x:c r="H448" s="38" t="n">
        <x:v>74.399988096</x:v>
      </x:c>
      <x:c r="I448"/>
      <x:c r="J448" s="36"/>
      <x:c r="K448" s="38"/>
      <x:c r="L448"/>
      <x:c r="M448" s="36"/>
      <x:c r="N448" s="38"/>
      <x:c r="O448" s="38" t="n">
        <x:v>74.399988096</x:v>
      </x:c>
      <x:c r="P448" s="38" t="n">
        <x:v>0</x:v>
      </x:c>
      <x:c r="Q448" t="str">
        <x:v>OK</x:v>
      </x:c>
    </x:row>
    <x:row r="449">
      <x:c r="A449" s="36" t="n">
        <x:v>46240</x:v>
      </x:c>
      <x:c r="B449" t="str">
        <x:v>Šakotis</x:v>
      </x:c>
      <x:c r="C449" t="str">
        <x:v>L326</x:v>
      </x:c>
      <x:c r="D449" t="str">
        <x:v>Kvapnioji medžiaga</x:v>
      </x:c>
      <x:c r="E449" s="38" t="n">
        <x:v>0.24799801600000002</x:v>
      </x:c>
      <x:c r="F449" t="str">
        <x:v>Kvp0630</x:v>
      </x:c>
      <x:c r="G449" s="36" t="n">
        <x:v>46388</x:v>
      </x:c>
      <x:c r="H449" s="38" t="n">
        <x:v>0.24799801600000002</x:v>
      </x:c>
      <x:c r="I449"/>
      <x:c r="J449" s="36"/>
      <x:c r="K449" s="38"/>
      <x:c r="L449"/>
      <x:c r="M449" s="36"/>
      <x:c r="N449" s="38"/>
      <x:c r="O449" s="38" t="n">
        <x:v>0.24799801600000002</x:v>
      </x:c>
      <x:c r="P449" s="38" t="n">
        <x:v>0</x:v>
      </x:c>
      <x:c r="Q449" t="str">
        <x:v>OK</x:v>
      </x:c>
    </x:row>
    <x:row r="450">
      <x:c r="A450" s="36" t="n">
        <x:v>46240</x:v>
      </x:c>
      <x:c r="B450" t="str">
        <x:v>Šakotis</x:v>
      </x:c>
      <x:c r="C450" t="str">
        <x:v>L326</x:v>
      </x:c>
      <x:c r="D450" t="str">
        <x:v>Ciberžolė</x:v>
      </x:c>
      <x:c r="E450" s="38" t="n">
        <x:v>0.867993056</x:v>
      </x:c>
      <x:c r="F450" t="str">
        <x:v>Cib0805</x:v>
      </x:c>
      <x:c r="G450" s="36" t="n">
        <x:v>46895</x:v>
      </x:c>
      <x:c r="H450" s="38" t="n">
        <x:v>0.867993056</x:v>
      </x:c>
      <x:c r="I450"/>
      <x:c r="J450" s="36"/>
      <x:c r="K450" s="38"/>
      <x:c r="L450"/>
      <x:c r="M450" s="36"/>
      <x:c r="N450" s="38"/>
      <x:c r="O450" s="38" t="n">
        <x:v>0.867993056</x:v>
      </x:c>
      <x:c r="P450" s="38" t="n">
        <x:v>0</x:v>
      </x:c>
      <x:c r="Q450" t="str">
        <x:v>OK</x:v>
      </x:c>
    </x:row>
    <x:row r="451">
      <x:c r="A451" s="36" t="n">
        <x:v>46240</x:v>
      </x:c>
      <x:c r="B451" t="str">
        <x:v>Šakotis</x:v>
      </x:c>
      <x:c r="C451" t="str">
        <x:v>L326</x:v>
      </x:c>
      <x:c r="D451" t="str">
        <x:v>Vanduo</x:v>
      </x:c>
      <x:c r="E451" s="38" t="n">
        <x:v>12.39771344</x:v>
      </x:c>
      <x:c r="F451" t="str">
        <x:v>Netaikoma</x:v>
      </x:c>
      <x:c r="G451" s="36"/>
      <x:c r="H451" s="38" t="n">
        <x:v>12.39771344</x:v>
      </x:c>
      <x:c r="I451"/>
      <x:c r="J451" s="36"/>
      <x:c r="K451" s="38"/>
      <x:c r="L451"/>
      <x:c r="M451" s="36"/>
      <x:c r="N451" s="38"/>
      <x:c r="O451" s="38" t="n">
        <x:v>12.39771344</x:v>
      </x:c>
      <x:c r="P451" s="38" t="n">
        <x:v>0</x:v>
      </x:c>
      <x:c r="Q451" t="str">
        <x:v>OK</x:v>
      </x:c>
    </x:row>
    <x:row r="452">
      <x:c r="A452" s="36" t="n">
        <x:v>46240</x:v>
      </x:c>
      <x:c r="B452" t="str">
        <x:v>Trapus šakotis</x:v>
      </x:c>
      <x:c r="C452" t="str">
        <x:v>L326</x:v>
      </x:c>
      <x:c r="D452" t="str">
        <x:v>Miltai</x:v>
      </x:c>
      <x:c r="E452" s="38" t="n">
        <x:v>69.9999888</x:v>
      </x:c>
      <x:c r="F452" t="str">
        <x:v>Mil0803</x:v>
      </x:c>
      <x:c r="G452" s="36" t="n">
        <x:v>46581</x:v>
      </x:c>
      <x:c r="H452" s="38" t="n">
        <x:v>69.9999888</x:v>
      </x:c>
      <x:c r="I452"/>
      <x:c r="J452" s="36"/>
      <x:c r="K452" s="38"/>
      <x:c r="L452"/>
      <x:c r="M452" s="36"/>
      <x:c r="N452" s="38"/>
      <x:c r="O452" s="38" t="n">
        <x:v>69.9999888</x:v>
      </x:c>
      <x:c r="P452" s="38" t="n">
        <x:v>0</x:v>
      </x:c>
      <x:c r="Q452" t="str">
        <x:v>OK</x:v>
      </x:c>
    </x:row>
    <x:row r="453">
      <x:c r="A453" s="36" t="n">
        <x:v>46240</x:v>
      </x:c>
      <x:c r="B453" t="str">
        <x:v>Trapus šakotis</x:v>
      </x:c>
      <x:c r="C453" t="str">
        <x:v>L326</x:v>
      </x:c>
      <x:c r="D453" t="str">
        <x:v>Grietinės mišinys</x:v>
      </x:c>
      <x:c r="E453" s="38" t="n">
        <x:v>50.39999467999999</x:v>
      </x:c>
      <x:c r="F453" t="str">
        <x:v>Gr0805</x:v>
      </x:c>
      <x:c r="G453" s="36" t="n">
        <x:v>46248</x:v>
      </x:c>
      <x:c r="H453" s="38" t="n">
        <x:v>50.39999467999999</x:v>
      </x:c>
      <x:c r="I453"/>
      <x:c r="J453" s="36"/>
      <x:c r="K453" s="38"/>
      <x:c r="L453"/>
      <x:c r="M453" s="36"/>
      <x:c r="N453" s="38"/>
      <x:c r="O453" s="38" t="n">
        <x:v>50.39999467999999</x:v>
      </x:c>
      <x:c r="P453" s="38" t="n">
        <x:v>0</x:v>
      </x:c>
      <x:c r="Q453" t="str">
        <x:v>OK</x:v>
      </x:c>
    </x:row>
    <x:row r="454">
      <x:c r="A454" s="36" t="n">
        <x:v>46240</x:v>
      </x:c>
      <x:c r="B454" t="str">
        <x:v>Trapus šakotis</x:v>
      </x:c>
      <x:c r="C454" t="str">
        <x:v>L326</x:v>
      </x:c>
      <x:c r="D454" t="str">
        <x:v>Kiaušiniai</x:v>
      </x:c>
      <x:c r="E454" s="38" t="n">
        <x:v>69.9999888</x:v>
      </x:c>
      <x:c r="F454" t="str">
        <x:v>K0803</x:v>
      </x:c>
      <x:c r="G454" s="36" t="n">
        <x:v>46257</x:v>
      </x:c>
      <x:c r="H454" s="38" t="n">
        <x:v>69.9999888</x:v>
      </x:c>
      <x:c r="I454"/>
      <x:c r="J454" s="36"/>
      <x:c r="K454" s="38"/>
      <x:c r="L454"/>
      <x:c r="M454" s="36"/>
      <x:c r="N454" s="38"/>
      <x:c r="O454" s="38" t="n">
        <x:v>69.9999888</x:v>
      </x:c>
      <x:c r="P454" s="38" t="n">
        <x:v>0</x:v>
      </x:c>
      <x:c r="Q454" t="str">
        <x:v>OK</x:v>
      </x:c>
    </x:row>
    <x:row r="455">
      <x:c r="A455" s="36" t="n">
        <x:v>46240</x:v>
      </x:c>
      <x:c r="B455" t="str">
        <x:v>Trapus šakotis</x:v>
      </x:c>
      <x:c r="C455" t="str">
        <x:v>L326</x:v>
      </x:c>
      <x:c r="D455" t="str">
        <x:v>Cukrus</x:v>
      </x:c>
      <x:c r="E455" s="38" t="n">
        <x:v>41.99999328</x:v>
      </x:c>
      <x:c r="F455" t="str">
        <x:v>Cuk0727</x:v>
      </x:c>
      <x:c r="G455" s="36" t="n">
        <x:v>46388</x:v>
      </x:c>
      <x:c r="H455" s="38" t="n">
        <x:v>41.99999328</x:v>
      </x:c>
      <x:c r="I455"/>
      <x:c r="J455" s="36"/>
      <x:c r="K455" s="38"/>
      <x:c r="L455"/>
      <x:c r="M455" s="36"/>
      <x:c r="N455" s="38"/>
      <x:c r="O455" s="38" t="n">
        <x:v>41.99999328</x:v>
      </x:c>
      <x:c r="P455" s="38" t="n">
        <x:v>0</x:v>
      </x:c>
      <x:c r="Q455" t="str">
        <x:v>OK</x:v>
      </x:c>
    </x:row>
    <x:row r="456">
      <x:c r="A456" s="36" t="n">
        <x:v>46240</x:v>
      </x:c>
      <x:c r="B456" t="str">
        <x:v>Trapus šakotis</x:v>
      </x:c>
      <x:c r="C456" t="str">
        <x:v>L326</x:v>
      </x:c>
      <x:c r="D456" t="str">
        <x:v>Margarinas trapiam "IEVA"</x:v>
      </x:c>
      <x:c r="E456" s="38" t="n">
        <x:v>49.55993279999999</x:v>
      </x:c>
      <x:c r="F456" t="str">
        <x:v>MarI0702</x:v>
      </x:c>
      <x:c r="G456" s="36" t="n">
        <x:v>46373</x:v>
      </x:c>
      <x:c r="H456" s="38" t="n">
        <x:v>49.55993279999999</x:v>
      </x:c>
      <x:c r="I456"/>
      <x:c r="J456" s="36"/>
      <x:c r="K456" s="38"/>
      <x:c r="L456"/>
      <x:c r="M456" s="36"/>
      <x:c r="N456" s="38"/>
      <x:c r="O456" s="38" t="n">
        <x:v>49.55993279999999</x:v>
      </x:c>
      <x:c r="P456" s="38" t="n">
        <x:v>0</x:v>
      </x:c>
      <x:c r="Q456" t="str">
        <x:v>OK</x:v>
      </x:c>
    </x:row>
    <x:row r="457">
      <x:c r="A457" s="36" t="n">
        <x:v>46240</x:v>
      </x:c>
      <x:c r="B457" t="str">
        <x:v>Trapus šakotis</x:v>
      </x:c>
      <x:c r="C457" t="str">
        <x:v>L326</x:v>
      </x:c>
      <x:c r="D457"/>
      <x:c r="E457" s="38"/>
      <x:c r="F457"/>
      <x:c r="G457" s="36"/>
      <x:c r="H457" s="38"/>
      <x:c r="I457"/>
      <x:c r="J457" s="36"/>
      <x:c r="K457" s="38"/>
      <x:c r="L457"/>
      <x:c r="M457" s="36"/>
      <x:c r="N457" s="38"/>
      <x:c r="O457" s="38"/>
      <x:c r="P457" s="38"/>
      <x:c r="Q457"/>
    </x:row>
    <x:row r="458">
      <x:c r="A458" s="36" t="n">
        <x:v>46240</x:v>
      </x:c>
      <x:c r="B458" t="str">
        <x:v>Trapus šakotis</x:v>
      </x:c>
      <x:c r="C458" t="str">
        <x:v>L326</x:v>
      </x:c>
      <x:c r="D458"/>
      <x:c r="E458" s="38"/>
      <x:c r="F458"/>
      <x:c r="G458" s="36"/>
      <x:c r="H458" s="38"/>
      <x:c r="I458"/>
      <x:c r="J458" s="36"/>
      <x:c r="K458" s="38"/>
      <x:c r="L458"/>
      <x:c r="M458" s="36"/>
      <x:c r="N458" s="38"/>
      <x:c r="O458" s="38"/>
      <x:c r="P458" s="38"/>
      <x:c r="Q458"/>
    </x:row>
    <x:row r="459">
      <x:c r="A459" s="36" t="n">
        <x:v>46240</x:v>
      </x:c>
      <x:c r="B459" t="str">
        <x:v>Trapus šakotis</x:v>
      </x:c>
      <x:c r="C459" t="str">
        <x:v>L326</x:v>
      </x:c>
      <x:c r="D459"/>
      <x:c r="E459" s="38"/>
      <x:c r="F459"/>
      <x:c r="G459" s="36"/>
      <x:c r="H459" s="38"/>
      <x:c r="I459"/>
      <x:c r="J459" s="36"/>
      <x:c r="K459" s="38"/>
      <x:c r="L459"/>
      <x:c r="M459" s="36"/>
      <x:c r="N459" s="38"/>
      <x:c r="O459" s="38"/>
      <x:c r="P459" s="38"/>
      <x:c r="Q459"/>
    </x:row>
    <x:row r="460">
      <x:c r="A460" s="36" t="n">
        <x:v>46241</x:v>
      </x:c>
      <x:c r="B460" t="str">
        <x:v>Šakotis</x:v>
      </x:c>
      <x:c r="C460" t="str">
        <x:v>L326</x:v>
      </x:c>
      <x:c r="D460" t="str">
        <x:v>Miltai</x:v>
      </x:c>
      <x:c r="E460" s="38" t="n">
        <x:v>43.99999296</x:v>
      </x:c>
      <x:c r="F460" t="str">
        <x:v>Mil0803</x:v>
      </x:c>
      <x:c r="G460" s="36" t="n">
        <x:v>46581</x:v>
      </x:c>
      <x:c r="H460" s="38" t="n">
        <x:v>43.99999296</x:v>
      </x:c>
      <x:c r="I460"/>
      <x:c r="J460" s="36"/>
      <x:c r="K460" s="38"/>
      <x:c r="L460"/>
      <x:c r="M460" s="36"/>
      <x:c r="N460" s="38"/>
      <x:c r="O460" s="38" t="n">
        <x:v>43.99999296</x:v>
      </x:c>
      <x:c r="P460" s="38" t="n">
        <x:v>0</x:v>
      </x:c>
      <x:c r="Q460" t="str">
        <x:v>OK</x:v>
      </x:c>
    </x:row>
    <x:row r="461">
      <x:c r="A461" s="36" t="n">
        <x:v>46241</x:v>
      </x:c>
      <x:c r="B461" t="str">
        <x:v>Šakotis</x:v>
      </x:c>
      <x:c r="C461" t="str">
        <x:v>L326</x:v>
      </x:c>
      <x:c r="D461" t="str">
        <x:v>Pienas</x:v>
      </x:c>
      <x:c r="E461" s="38" t="n">
        <x:v>16.499997360000002</x:v>
      </x:c>
      <x:c r="F461" t="str">
        <x:v>P0805</x:v>
      </x:c>
      <x:c r="G461" s="36" t="n">
        <x:v>46245</x:v>
      </x:c>
      <x:c r="H461" s="38" t="n">
        <x:v>16.499997360000002</x:v>
      </x:c>
      <x:c r="I461"/>
      <x:c r="J461" s="36"/>
      <x:c r="K461" s="38"/>
      <x:c r="L461"/>
      <x:c r="M461" s="36"/>
      <x:c r="N461" s="38"/>
      <x:c r="O461" s="38" t="n">
        <x:v>16.499997360000002</x:v>
      </x:c>
      <x:c r="P461" s="38" t="n">
        <x:v>0</x:v>
      </x:c>
      <x:c r="Q461" t="str">
        <x:v>OK</x:v>
      </x:c>
    </x:row>
    <x:row r="462">
      <x:c r="A462" s="36" t="n">
        <x:v>46241</x:v>
      </x:c>
      <x:c r="B462" t="str">
        <x:v>Šakotis</x:v>
      </x:c>
      <x:c r="C462" t="str">
        <x:v>L326</x:v>
      </x:c>
      <x:c r="D462" t="str">
        <x:v>Kiaušiniai</x:v>
      </x:c>
      <x:c r="E462" s="38" t="n">
        <x:v>60.499947199999994</x:v>
      </x:c>
      <x:c r="F462" t="str">
        <x:v>K0803</x:v>
      </x:c>
      <x:c r="G462" s="36" t="n">
        <x:v>46257</x:v>
      </x:c>
      <x:c r="H462" s="38" t="n">
        <x:v>60.499947199999994</x:v>
      </x:c>
      <x:c r="I462"/>
      <x:c r="J462" s="36"/>
      <x:c r="K462" s="38"/>
      <x:c r="L462"/>
      <x:c r="M462" s="36"/>
      <x:c r="N462" s="38"/>
      <x:c r="O462" s="38" t="n">
        <x:v>60.499947199999994</x:v>
      </x:c>
      <x:c r="P462" s="38" t="n">
        <x:v>0</x:v>
      </x:c>
      <x:c r="Q462" t="str">
        <x:v>OK</x:v>
      </x:c>
    </x:row>
    <x:row r="463">
      <x:c r="A463" s="36" t="n">
        <x:v>46241</x:v>
      </x:c>
      <x:c r="B463" t="str">
        <x:v>Šakotis</x:v>
      </x:c>
      <x:c r="C463" t="str">
        <x:v>L326</x:v>
      </x:c>
      <x:c r="D463" t="str">
        <x:v>Cukrus</x:v>
      </x:c>
      <x:c r="E463" s="38" t="n">
        <x:v>32.999994720000004</x:v>
      </x:c>
      <x:c r="F463" t="str">
        <x:v>Cuk0727</x:v>
      </x:c>
      <x:c r="G463" s="36" t="n">
        <x:v>46388</x:v>
      </x:c>
      <x:c r="H463" s="38" t="n">
        <x:v>32.999994720000004</x:v>
      </x:c>
      <x:c r="I463"/>
      <x:c r="J463" s="36"/>
      <x:c r="K463" s="38"/>
      <x:c r="L463"/>
      <x:c r="M463" s="36"/>
      <x:c r="N463" s="38"/>
      <x:c r="O463" s="38" t="n">
        <x:v>32.999994720000004</x:v>
      </x:c>
      <x:c r="P463" s="38" t="n">
        <x:v>0</x:v>
      </x:c>
      <x:c r="Q463" t="str">
        <x:v>OK</x:v>
      </x:c>
    </x:row>
    <x:row r="464">
      <x:c r="A464" s="36" t="n">
        <x:v>46241</x:v>
      </x:c>
      <x:c r="B464" t="str">
        <x:v>Šakotis</x:v>
      </x:c>
      <x:c r="C464" t="str">
        <x:v>L326</x:v>
      </x:c>
      <x:c r="D464" t="str">
        <x:v>Margarinas Šakočiui "Alvas"</x:v>
      </x:c>
      <x:c r="E464" s="38" t="n">
        <x:v>32.999994720000004</x:v>
      </x:c>
      <x:c r="F464" t="str">
        <x:v>MarA0730</x:v>
      </x:c>
      <x:c r="G464" s="36" t="n">
        <x:v>46322</x:v>
      </x:c>
      <x:c r="H464" s="38" t="n">
        <x:v>32.999994720000004</x:v>
      </x:c>
      <x:c r="I464"/>
      <x:c r="J464" s="36"/>
      <x:c r="K464" s="38"/>
      <x:c r="L464"/>
      <x:c r="M464" s="36"/>
      <x:c r="N464" s="38"/>
      <x:c r="O464" s="38" t="n">
        <x:v>32.999994720000004</x:v>
      </x:c>
      <x:c r="P464" s="38" t="n">
        <x:v>0</x:v>
      </x:c>
      <x:c r="Q464" t="str">
        <x:v>OK</x:v>
      </x:c>
    </x:row>
    <x:row r="465">
      <x:c r="A465" s="36" t="n">
        <x:v>46241</x:v>
      </x:c>
      <x:c r="B465" t="str">
        <x:v>Šakotis</x:v>
      </x:c>
      <x:c r="C465" t="str">
        <x:v>L326</x:v>
      </x:c>
      <x:c r="D465" t="str">
        <x:v>Kvapnioji medžiaga</x:v>
      </x:c>
      <x:c r="E465" s="38" t="n">
        <x:v>0.10999912</x:v>
      </x:c>
      <x:c r="F465" t="str">
        <x:v>Kvp0630</x:v>
      </x:c>
      <x:c r="G465" s="36" t="n">
        <x:v>46388</x:v>
      </x:c>
      <x:c r="H465" s="38" t="n">
        <x:v>0.10999912</x:v>
      </x:c>
      <x:c r="I465"/>
      <x:c r="J465" s="36"/>
      <x:c r="K465" s="38"/>
      <x:c r="L465"/>
      <x:c r="M465" s="36"/>
      <x:c r="N465" s="38"/>
      <x:c r="O465" s="38" t="n">
        <x:v>0.10999912</x:v>
      </x:c>
      <x:c r="P465" s="38" t="n">
        <x:v>0</x:v>
      </x:c>
      <x:c r="Q465" t="str">
        <x:v>OK</x:v>
      </x:c>
    </x:row>
    <x:row r="466">
      <x:c r="A466" s="36" t="n">
        <x:v>46241</x:v>
      </x:c>
      <x:c r="B466" t="str">
        <x:v>Šakotis</x:v>
      </x:c>
      <x:c r="C466" t="str">
        <x:v>L326</x:v>
      </x:c>
      <x:c r="D466" t="str">
        <x:v>Ciberžolė</x:v>
      </x:c>
      <x:c r="E466" s="38" t="n">
        <x:v>0.38499692</x:v>
      </x:c>
      <x:c r="F466" t="str">
        <x:v>Cib0805</x:v>
      </x:c>
      <x:c r="G466" s="36" t="n">
        <x:v>46895</x:v>
      </x:c>
      <x:c r="H466" s="38" t="n">
        <x:v>0.38499692</x:v>
      </x:c>
      <x:c r="I466"/>
      <x:c r="J466" s="36"/>
      <x:c r="K466" s="38"/>
      <x:c r="L466"/>
      <x:c r="M466" s="36"/>
      <x:c r="N466" s="38"/>
      <x:c r="O466" s="38" t="n">
        <x:v>0.38499692</x:v>
      </x:c>
      <x:c r="P466" s="38" t="n">
        <x:v>0</x:v>
      </x:c>
      <x:c r="Q466" t="str">
        <x:v>OK</x:v>
      </x:c>
    </x:row>
    <x:row r="467">
      <x:c r="A467" s="36" t="n">
        <x:v>46241</x:v>
      </x:c>
      <x:c r="B467" t="str">
        <x:v>Šakotis</x:v>
      </x:c>
      <x:c r="C467" t="str">
        <x:v>L326</x:v>
      </x:c>
      <x:c r="D467" t="str">
        <x:v>Vanduo</x:v>
      </x:c>
      <x:c r="E467" s="38" t="n">
        <x:v>5.4989858</x:v>
      </x:c>
      <x:c r="F467" t="str">
        <x:v>Netaikoma</x:v>
      </x:c>
      <x:c r="G467" s="36"/>
      <x:c r="H467" s="38" t="n">
        <x:v>5.4989858</x:v>
      </x:c>
      <x:c r="I467"/>
      <x:c r="J467" s="36"/>
      <x:c r="K467" s="38"/>
      <x:c r="L467"/>
      <x:c r="M467" s="36"/>
      <x:c r="N467" s="38"/>
      <x:c r="O467" s="38" t="n">
        <x:v>5.4989858</x:v>
      </x:c>
      <x:c r="P467" s="38" t="n">
        <x:v>0</x:v>
      </x:c>
      <x:c r="Q467" t="str">
        <x:v>OK</x:v>
      </x:c>
    </x:row>
    <x:row r="468">
      <x:c r="A468" s="36" t="n">
        <x:v>46241</x:v>
      </x:c>
      <x:c r="B468" t="str">
        <x:v>Trapus šakotis</x:v>
      </x:c>
      <x:c r="C468" t="str">
        <x:v>L326</x:v>
      </x:c>
      <x:c r="D468" t="str">
        <x:v>Miltai</x:v>
      </x:c>
      <x:c r="E468" s="38" t="n">
        <x:v>69.9999888</x:v>
      </x:c>
      <x:c r="F468" t="str">
        <x:v>Mil0803</x:v>
      </x:c>
      <x:c r="G468" s="36" t="n">
        <x:v>46581</x:v>
      </x:c>
      <x:c r="H468" s="38" t="n">
        <x:v>69.9999888</x:v>
      </x:c>
      <x:c r="I468"/>
      <x:c r="J468" s="36"/>
      <x:c r="K468" s="38"/>
      <x:c r="L468"/>
      <x:c r="M468" s="36"/>
      <x:c r="N468" s="38"/>
      <x:c r="O468" s="38" t="n">
        <x:v>69.9999888</x:v>
      </x:c>
      <x:c r="P468" s="38" t="n">
        <x:v>0</x:v>
      </x:c>
      <x:c r="Q468" t="str">
        <x:v>OK</x:v>
      </x:c>
    </x:row>
    <x:row r="469">
      <x:c r="A469" s="36" t="n">
        <x:v>46241</x:v>
      </x:c>
      <x:c r="B469" t="str">
        <x:v>Trapus šakotis</x:v>
      </x:c>
      <x:c r="C469" t="str">
        <x:v>L326</x:v>
      </x:c>
      <x:c r="D469" t="str">
        <x:v>Grietinės mišinys</x:v>
      </x:c>
      <x:c r="E469" s="38" t="n">
        <x:v>50.39999467999999</x:v>
      </x:c>
      <x:c r="F469" t="str">
        <x:v>Gr0805</x:v>
      </x:c>
      <x:c r="G469" s="36" t="n">
        <x:v>46248</x:v>
      </x:c>
      <x:c r="H469" s="38" t="n">
        <x:v>50.39999467999999</x:v>
      </x:c>
      <x:c r="I469"/>
      <x:c r="J469" s="36"/>
      <x:c r="K469" s="38"/>
      <x:c r="L469"/>
      <x:c r="M469" s="36"/>
      <x:c r="N469" s="38"/>
      <x:c r="O469" s="38" t="n">
        <x:v>50.39999467999999</x:v>
      </x:c>
      <x:c r="P469" s="38" t="n">
        <x:v>0</x:v>
      </x:c>
      <x:c r="Q469" t="str">
        <x:v>OK</x:v>
      </x:c>
    </x:row>
    <x:row r="470">
      <x:c r="A470" s="36" t="n">
        <x:v>46241</x:v>
      </x:c>
      <x:c r="B470" t="str">
        <x:v>Trapus šakotis</x:v>
      </x:c>
      <x:c r="C470" t="str">
        <x:v>L326</x:v>
      </x:c>
      <x:c r="D470" t="str">
        <x:v>Kiaušiniai</x:v>
      </x:c>
      <x:c r="E470" s="38" t="n">
        <x:v>69.9999888</x:v>
      </x:c>
      <x:c r="F470" t="str">
        <x:v>K0803</x:v>
      </x:c>
      <x:c r="G470" s="36" t="n">
        <x:v>46257</x:v>
      </x:c>
      <x:c r="H470" s="38" t="n">
        <x:v>69.9999888</x:v>
      </x:c>
      <x:c r="I470"/>
      <x:c r="J470" s="36"/>
      <x:c r="K470" s="38"/>
      <x:c r="L470"/>
      <x:c r="M470" s="36"/>
      <x:c r="N470" s="38"/>
      <x:c r="O470" s="38" t="n">
        <x:v>69.9999888</x:v>
      </x:c>
      <x:c r="P470" s="38" t="n">
        <x:v>0</x:v>
      </x:c>
      <x:c r="Q470" t="str">
        <x:v>OK</x:v>
      </x:c>
    </x:row>
    <x:row r="471">
      <x:c r="A471" s="36" t="n">
        <x:v>46241</x:v>
      </x:c>
      <x:c r="B471" t="str">
        <x:v>Trapus šakotis</x:v>
      </x:c>
      <x:c r="C471" t="str">
        <x:v>L326</x:v>
      </x:c>
      <x:c r="D471" t="str">
        <x:v>Cukrus</x:v>
      </x:c>
      <x:c r="E471" s="38" t="n">
        <x:v>41.99999328</x:v>
      </x:c>
      <x:c r="F471" t="str">
        <x:v>Cuk0727</x:v>
      </x:c>
      <x:c r="G471" s="36" t="n">
        <x:v>46388</x:v>
      </x:c>
      <x:c r="H471" s="38" t="n">
        <x:v>41.99999328</x:v>
      </x:c>
      <x:c r="I471"/>
      <x:c r="J471" s="36"/>
      <x:c r="K471" s="38"/>
      <x:c r="L471"/>
      <x:c r="M471" s="36"/>
      <x:c r="N471" s="38"/>
      <x:c r="O471" s="38" t="n">
        <x:v>41.99999328</x:v>
      </x:c>
      <x:c r="P471" s="38" t="n">
        <x:v>0</x:v>
      </x:c>
      <x:c r="Q471" t="str">
        <x:v>OK</x:v>
      </x:c>
    </x:row>
    <x:row r="472">
      <x:c r="A472" s="36" t="n">
        <x:v>46241</x:v>
      </x:c>
      <x:c r="B472" t="str">
        <x:v>Trapus šakotis</x:v>
      </x:c>
      <x:c r="C472" t="str">
        <x:v>L326</x:v>
      </x:c>
      <x:c r="D472" t="str">
        <x:v>Margarinas trapiam "IEVA"</x:v>
      </x:c>
      <x:c r="E472" s="38" t="n">
        <x:v>49.55993279999999</x:v>
      </x:c>
      <x:c r="F472" t="str">
        <x:v>MarI0702</x:v>
      </x:c>
      <x:c r="G472" s="36" t="n">
        <x:v>46373</x:v>
      </x:c>
      <x:c r="H472" s="38" t="n">
        <x:v>49.55993279999999</x:v>
      </x:c>
      <x:c r="I472"/>
      <x:c r="J472" s="36"/>
      <x:c r="K472" s="38"/>
      <x:c r="L472"/>
      <x:c r="M472" s="36"/>
      <x:c r="N472" s="38"/>
      <x:c r="O472" s="38" t="n">
        <x:v>49.55993279999999</x:v>
      </x:c>
      <x:c r="P472" s="38" t="n">
        <x:v>0</x:v>
      </x:c>
      <x:c r="Q472" t="str">
        <x:v>OK</x:v>
      </x:c>
    </x:row>
    <x:row r="473">
      <x:c r="A473" s="36" t="n">
        <x:v>46241</x:v>
      </x:c>
      <x:c r="B473" t="str">
        <x:v>Trapus šakotis</x:v>
      </x:c>
      <x:c r="C473" t="str">
        <x:v>L326</x:v>
      </x:c>
      <x:c r="D473"/>
      <x:c r="E473" s="38"/>
      <x:c r="F473"/>
      <x:c r="G473" s="36"/>
      <x:c r="H473" s="38"/>
      <x:c r="I473"/>
      <x:c r="J473" s="36"/>
      <x:c r="K473" s="38"/>
      <x:c r="L473"/>
      <x:c r="M473" s="36"/>
      <x:c r="N473" s="38"/>
      <x:c r="O473" s="38"/>
      <x:c r="P473" s="38"/>
      <x:c r="Q473"/>
    </x:row>
    <x:row r="474">
      <x:c r="A474" s="36" t="n">
        <x:v>46241</x:v>
      </x:c>
      <x:c r="B474" t="str">
        <x:v>Trapus šakotis</x:v>
      </x:c>
      <x:c r="C474" t="str">
        <x:v>L326</x:v>
      </x:c>
      <x:c r="D474"/>
      <x:c r="E474" s="38"/>
      <x:c r="F474"/>
      <x:c r="G474" s="36"/>
      <x:c r="H474" s="38"/>
      <x:c r="I474"/>
      <x:c r="J474" s="36"/>
      <x:c r="K474" s="38"/>
      <x:c r="L474"/>
      <x:c r="M474" s="36"/>
      <x:c r="N474" s="38"/>
      <x:c r="O474" s="38"/>
      <x:c r="P474" s="38"/>
      <x:c r="Q474"/>
    </x:row>
    <x:row r="475">
      <x:c r="A475" s="36" t="n">
        <x:v>46241</x:v>
      </x:c>
      <x:c r="B475" t="str">
        <x:v>Trapus šakotis</x:v>
      </x:c>
      <x:c r="C475" t="str">
        <x:v>L326</x:v>
      </x:c>
      <x:c r="D475"/>
      <x:c r="E475" s="38"/>
      <x:c r="F475"/>
      <x:c r="G475" s="36"/>
      <x:c r="H475" s="38"/>
      <x:c r="I475"/>
      <x:c r="J475" s="36"/>
      <x:c r="K475" s="38"/>
      <x:c r="L475"/>
      <x:c r="M475" s="36"/>
      <x:c r="N475" s="38"/>
      <x:c r="O475" s="38"/>
      <x:c r="P475" s="38"/>
      <x:c r="Q475"/>
    </x:row>
    <x:row r="476">
      <x:c r="A476" s="36" t="n">
        <x:v>46243</x:v>
      </x:c>
      <x:c r="B476" t="str">
        <x:v>Šakotis</x:v>
      </x:c>
      <x:c r="C476" t="str">
        <x:v>L336</x:v>
      </x:c>
      <x:c r="D476" t="str">
        <x:v>Miltai</x:v>
      </x:c>
      <x:c r="E476" s="38" t="n">
        <x:v>31.999994880000003</x:v>
      </x:c>
      <x:c r="F476" t="str">
        <x:v>Mil0803</x:v>
      </x:c>
      <x:c r="G476" s="36" t="n">
        <x:v>46581</x:v>
      </x:c>
      <x:c r="H476" s="38" t="n">
        <x:v>31.999994880000003</x:v>
      </x:c>
      <x:c r="I476"/>
      <x:c r="J476" s="36"/>
      <x:c r="K476" s="38"/>
      <x:c r="L476"/>
      <x:c r="M476" s="36"/>
      <x:c r="N476" s="38"/>
      <x:c r="O476" s="38" t="n">
        <x:v>31.999994880000003</x:v>
      </x:c>
      <x:c r="P476" s="38" t="n">
        <x:v>0</x:v>
      </x:c>
      <x:c r="Q476" t="str">
        <x:v>OK</x:v>
      </x:c>
    </x:row>
    <x:row r="477">
      <x:c r="A477" s="36" t="n">
        <x:v>46243</x:v>
      </x:c>
      <x:c r="B477" t="str">
        <x:v>Šakotis</x:v>
      </x:c>
      <x:c r="C477" t="str">
        <x:v>L336</x:v>
      </x:c>
      <x:c r="D477" t="str">
        <x:v>Pienas</x:v>
      </x:c>
      <x:c r="E477" s="38" t="n">
        <x:v>11.999998080000001</x:v>
      </x:c>
      <x:c r="F477" t="str">
        <x:v>P0805</x:v>
      </x:c>
      <x:c r="G477" s="36" t="n">
        <x:v>46245</x:v>
      </x:c>
      <x:c r="H477" s="38" t="n">
        <x:v>11.999998080000001</x:v>
      </x:c>
      <x:c r="I477"/>
      <x:c r="J477" s="36"/>
      <x:c r="K477" s="38"/>
      <x:c r="L477"/>
      <x:c r="M477" s="36"/>
      <x:c r="N477" s="38"/>
      <x:c r="O477" s="38" t="n">
        <x:v>11.999998080000001</x:v>
      </x:c>
      <x:c r="P477" s="38" t="n">
        <x:v>0</x:v>
      </x:c>
      <x:c r="Q477" t="str">
        <x:v>OK</x:v>
      </x:c>
    </x:row>
    <x:row r="478">
      <x:c r="A478" s="36" t="n">
        <x:v>46243</x:v>
      </x:c>
      <x:c r="B478" t="str">
        <x:v>Šakotis</x:v>
      </x:c>
      <x:c r="C478" t="str">
        <x:v>L336</x:v>
      </x:c>
      <x:c r="D478" t="str">
        <x:v>Kiaušiniai</x:v>
      </x:c>
      <x:c r="E478" s="38" t="n">
        <x:v>43.9999616</x:v>
      </x:c>
      <x:c r="F478" t="str">
        <x:v>K0803</x:v>
      </x:c>
      <x:c r="G478" s="36" t="n">
        <x:v>46257</x:v>
      </x:c>
      <x:c r="H478" s="38" t="n">
        <x:v>43.9999616</x:v>
      </x:c>
      <x:c r="I478"/>
      <x:c r="J478" s="36"/>
      <x:c r="K478" s="38"/>
      <x:c r="L478"/>
      <x:c r="M478" s="36"/>
      <x:c r="N478" s="38"/>
      <x:c r="O478" s="38" t="n">
        <x:v>43.9999616</x:v>
      </x:c>
      <x:c r="P478" s="38" t="n">
        <x:v>0</x:v>
      </x:c>
      <x:c r="Q478" t="str">
        <x:v>OK</x:v>
      </x:c>
    </x:row>
    <x:row r="479">
      <x:c r="A479" s="36" t="n">
        <x:v>46243</x:v>
      </x:c>
      <x:c r="B479" t="str">
        <x:v>Šakotis</x:v>
      </x:c>
      <x:c r="C479" t="str">
        <x:v>L336</x:v>
      </x:c>
      <x:c r="D479" t="str">
        <x:v>Cukrus</x:v>
      </x:c>
      <x:c r="E479" s="38" t="n">
        <x:v>23.999996160000002</x:v>
      </x:c>
      <x:c r="F479" t="str">
        <x:v>Cuk0727</x:v>
      </x:c>
      <x:c r="G479" s="36" t="n">
        <x:v>46388</x:v>
      </x:c>
      <x:c r="H479" s="38" t="n">
        <x:v>23.999996160000002</x:v>
      </x:c>
      <x:c r="I479"/>
      <x:c r="J479" s="36"/>
      <x:c r="K479" s="38"/>
      <x:c r="L479"/>
      <x:c r="M479" s="36"/>
      <x:c r="N479" s="38"/>
      <x:c r="O479" s="38" t="n">
        <x:v>23.999996160000002</x:v>
      </x:c>
      <x:c r="P479" s="38" t="n">
        <x:v>0</x:v>
      </x:c>
      <x:c r="Q479" t="str">
        <x:v>OK</x:v>
      </x:c>
    </x:row>
    <x:row r="480">
      <x:c r="A480" s="36" t="n">
        <x:v>46243</x:v>
      </x:c>
      <x:c r="B480" t="str">
        <x:v>Šakotis</x:v>
      </x:c>
      <x:c r="C480" t="str">
        <x:v>L336</x:v>
      </x:c>
      <x:c r="D480" t="str">
        <x:v>Margarinas Šakočiui "Alvas"</x:v>
      </x:c>
      <x:c r="E480" s="38" t="n">
        <x:v>23.999996160000002</x:v>
      </x:c>
      <x:c r="F480" t="str">
        <x:v>MarA0730</x:v>
      </x:c>
      <x:c r="G480" s="36" t="n">
        <x:v>46322</x:v>
      </x:c>
      <x:c r="H480" s="38" t="n">
        <x:v>23.999996160000002</x:v>
      </x:c>
      <x:c r="I480"/>
      <x:c r="J480" s="36"/>
      <x:c r="K480" s="38"/>
      <x:c r="L480"/>
      <x:c r="M480" s="36"/>
      <x:c r="N480" s="38"/>
      <x:c r="O480" s="38" t="n">
        <x:v>23.999996160000002</x:v>
      </x:c>
      <x:c r="P480" s="38" t="n">
        <x:v>0</x:v>
      </x:c>
      <x:c r="Q480" t="str">
        <x:v>OK</x:v>
      </x:c>
    </x:row>
    <x:row r="481">
      <x:c r="A481" s="36" t="n">
        <x:v>46243</x:v>
      </x:c>
      <x:c r="B481" t="str">
        <x:v>Šakotis</x:v>
      </x:c>
      <x:c r="C481" t="str">
        <x:v>L336</x:v>
      </x:c>
      <x:c r="D481" t="str">
        <x:v>Kvapnioji medžiaga</x:v>
      </x:c>
      <x:c r="E481" s="38" t="n">
        <x:v>0.07999936</x:v>
      </x:c>
      <x:c r="F481" t="str">
        <x:v>Kvp0630</x:v>
      </x:c>
      <x:c r="G481" s="36" t="n">
        <x:v>46388</x:v>
      </x:c>
      <x:c r="H481" s="38" t="n">
        <x:v>0.07999936</x:v>
      </x:c>
      <x:c r="I481"/>
      <x:c r="J481" s="36"/>
      <x:c r="K481" s="38"/>
      <x:c r="L481"/>
      <x:c r="M481" s="36"/>
      <x:c r="N481" s="38"/>
      <x:c r="O481" s="38" t="n">
        <x:v>0.07999936</x:v>
      </x:c>
      <x:c r="P481" s="38" t="n">
        <x:v>0</x:v>
      </x:c>
      <x:c r="Q481" t="str">
        <x:v>OK</x:v>
      </x:c>
    </x:row>
    <x:row r="482">
      <x:c r="A482" s="36" t="n">
        <x:v>46243</x:v>
      </x:c>
      <x:c r="B482" t="str">
        <x:v>Šakotis</x:v>
      </x:c>
      <x:c r="C482" t="str">
        <x:v>L336</x:v>
      </x:c>
      <x:c r="D482" t="str">
        <x:v>Ciberžolė</x:v>
      </x:c>
      <x:c r="E482" s="38" t="n">
        <x:v>0.27999776000000004</x:v>
      </x:c>
      <x:c r="F482" t="str">
        <x:v>Cib0805</x:v>
      </x:c>
      <x:c r="G482" s="36" t="n">
        <x:v>46895</x:v>
      </x:c>
      <x:c r="H482" s="38" t="n">
        <x:v>0.27999776000000004</x:v>
      </x:c>
      <x:c r="I482"/>
      <x:c r="J482" s="36"/>
      <x:c r="K482" s="38"/>
      <x:c r="L482"/>
      <x:c r="M482" s="36"/>
      <x:c r="N482" s="38"/>
      <x:c r="O482" s="38" t="n">
        <x:v>0.27999776000000004</x:v>
      </x:c>
      <x:c r="P482" s="38" t="n">
        <x:v>0</x:v>
      </x:c>
      <x:c r="Q482" t="str">
        <x:v>OK</x:v>
      </x:c>
    </x:row>
    <x:row r="483">
      <x:c r="A483" s="36" t="n">
        <x:v>46243</x:v>
      </x:c>
      <x:c r="B483" t="str">
        <x:v>Šakotis</x:v>
      </x:c>
      <x:c r="C483" t="str">
        <x:v>L336</x:v>
      </x:c>
      <x:c r="D483" t="str">
        <x:v>Vanduo</x:v>
      </x:c>
      <x:c r="E483" s="38" t="n">
        <x:v>3.9992624000000006</x:v>
      </x:c>
      <x:c r="F483" t="str">
        <x:v>Netaikoma</x:v>
      </x:c>
      <x:c r="G483" s="36"/>
      <x:c r="H483" s="38" t="n">
        <x:v>3.9992624000000006</x:v>
      </x:c>
      <x:c r="I483"/>
      <x:c r="J483" s="36"/>
      <x:c r="K483" s="38"/>
      <x:c r="L483"/>
      <x:c r="M483" s="36"/>
      <x:c r="N483" s="38"/>
      <x:c r="O483" s="38" t="n">
        <x:v>3.9992624000000006</x:v>
      </x:c>
      <x:c r="P483" s="38" t="n">
        <x:v>0</x:v>
      </x:c>
      <x:c r="Q483" t="str">
        <x:v>OK</x:v>
      </x:c>
    </x:row>
    <x:row r="484">
      <x:c r="A484" s="36" t="n">
        <x:v>46244</x:v>
      </x:c>
      <x:c r="B484" t="str">
        <x:v>Šakotis</x:v>
      </x:c>
      <x:c r="C484" t="str">
        <x:v>L336</x:v>
      </x:c>
      <x:c r="D484" t="str">
        <x:v>Miltai</x:v>
      </x:c>
      <x:c r="E484" s="38" t="n">
        <x:v>125.99997984</x:v>
      </x:c>
      <x:c r="F484" t="str">
        <x:v>Mil0803</x:v>
      </x:c>
      <x:c r="G484" s="36" t="n">
        <x:v>46581</x:v>
      </x:c>
      <x:c r="H484" s="38" t="n">
        <x:v>118.8089202559994</x:v>
      </x:c>
      <x:c r="I484" t="str">
        <x:v>Mil0805</x:v>
      </x:c>
      <x:c r="J484" s="36" t="n">
        <x:v>46577</x:v>
      </x:c>
      <x:c r="K484" s="38" t="n">
        <x:v>7.191059584000598</x:v>
      </x:c>
      <x:c r="L484"/>
      <x:c r="M484" s="36"/>
      <x:c r="N484" s="38"/>
      <x:c r="O484" s="38" t="n">
        <x:v>125.99997984</x:v>
      </x:c>
      <x:c r="P484" s="38" t="n">
        <x:v>0</x:v>
      </x:c>
      <x:c r="Q484" t="str">
        <x:v>OK</x:v>
      </x:c>
    </x:row>
    <x:row r="485">
      <x:c r="A485" s="36" t="n">
        <x:v>46244</x:v>
      </x:c>
      <x:c r="B485" t="str">
        <x:v>Šakotis</x:v>
      </x:c>
      <x:c r="C485" t="str">
        <x:v>L336</x:v>
      </x:c>
      <x:c r="D485" t="str">
        <x:v>Pienas</x:v>
      </x:c>
      <x:c r="E485" s="38" t="n">
        <x:v>47.24999244</x:v>
      </x:c>
      <x:c r="F485" t="str">
        <x:v>P0805</x:v>
      </x:c>
      <x:c r="G485" s="36" t="n">
        <x:v>46245</x:v>
      </x:c>
      <x:c r="H485" s="38" t="n">
        <x:v>47.24999244</x:v>
      </x:c>
      <x:c r="I485"/>
      <x:c r="J485" s="36"/>
      <x:c r="K485" s="38"/>
      <x:c r="L485"/>
      <x:c r="M485" s="36"/>
      <x:c r="N485" s="38"/>
      <x:c r="O485" s="38" t="n">
        <x:v>47.24999244</x:v>
      </x:c>
      <x:c r="P485" s="38" t="n">
        <x:v>0</x:v>
      </x:c>
      <x:c r="Q485" t="str">
        <x:v>OK</x:v>
      </x:c>
    </x:row>
    <x:row r="486">
      <x:c r="A486" s="36" t="n">
        <x:v>46244</x:v>
      </x:c>
      <x:c r="B486" t="str">
        <x:v>Šakotis</x:v>
      </x:c>
      <x:c r="C486" t="str">
        <x:v>L336</x:v>
      </x:c>
      <x:c r="D486" t="str">
        <x:v>Kiaušiniai</x:v>
      </x:c>
      <x:c r="E486" s="38" t="n">
        <x:v>173.24984879999997</x:v>
      </x:c>
      <x:c r="F486" t="str">
        <x:v>K0803</x:v>
      </x:c>
      <x:c r="G486" s="36" t="n">
        <x:v>46257</x:v>
      </x:c>
      <x:c r="H486" s="38" t="n">
        <x:v>173.24984879999997</x:v>
      </x:c>
      <x:c r="I486"/>
      <x:c r="J486" s="36"/>
      <x:c r="K486" s="38"/>
      <x:c r="L486"/>
      <x:c r="M486" s="36"/>
      <x:c r="N486" s="38"/>
      <x:c r="O486" s="38" t="n">
        <x:v>173.24984879999997</x:v>
      </x:c>
      <x:c r="P486" s="38" t="n">
        <x:v>0</x:v>
      </x:c>
      <x:c r="Q486" t="str">
        <x:v>OK</x:v>
      </x:c>
    </x:row>
    <x:row r="487">
      <x:c r="A487" s="36" t="n">
        <x:v>46244</x:v>
      </x:c>
      <x:c r="B487" t="str">
        <x:v>Šakotis</x:v>
      </x:c>
      <x:c r="C487" t="str">
        <x:v>L336</x:v>
      </x:c>
      <x:c r="D487" t="str">
        <x:v>Cukrus</x:v>
      </x:c>
      <x:c r="E487" s="38" t="n">
        <x:v>94.49998488</x:v>
      </x:c>
      <x:c r="F487" t="str">
        <x:v>Cuk0727</x:v>
      </x:c>
      <x:c r="G487" s="36" t="n">
        <x:v>46388</x:v>
      </x:c>
      <x:c r="H487" s="38" t="n">
        <x:v>94.49998488</x:v>
      </x:c>
      <x:c r="I487"/>
      <x:c r="J487" s="36"/>
      <x:c r="K487" s="38"/>
      <x:c r="L487"/>
      <x:c r="M487" s="36"/>
      <x:c r="N487" s="38"/>
      <x:c r="O487" s="38" t="n">
        <x:v>94.49998488</x:v>
      </x:c>
      <x:c r="P487" s="38" t="n">
        <x:v>0</x:v>
      </x:c>
      <x:c r="Q487" t="str">
        <x:v>OK</x:v>
      </x:c>
    </x:row>
    <x:row r="488">
      <x:c r="A488" s="36" t="n">
        <x:v>46244</x:v>
      </x:c>
      <x:c r="B488" t="str">
        <x:v>Šakotis</x:v>
      </x:c>
      <x:c r="C488" t="str">
        <x:v>L336</x:v>
      </x:c>
      <x:c r="D488" t="str">
        <x:v>Margarinas Šakočiui "Alvas"</x:v>
      </x:c>
      <x:c r="E488" s="38" t="n">
        <x:v>94.49998488</x:v>
      </x:c>
      <x:c r="F488" t="str">
        <x:v>MarA0730</x:v>
      </x:c>
      <x:c r="G488" s="36" t="n">
        <x:v>46322</x:v>
      </x:c>
      <x:c r="H488" s="38" t="n">
        <x:v>94.49998488</x:v>
      </x:c>
      <x:c r="I488"/>
      <x:c r="J488" s="36"/>
      <x:c r="K488" s="38"/>
      <x:c r="L488"/>
      <x:c r="M488" s="36"/>
      <x:c r="N488" s="38"/>
      <x:c r="O488" s="38" t="n">
        <x:v>94.49998488</x:v>
      </x:c>
      <x:c r="P488" s="38" t="n">
        <x:v>0</x:v>
      </x:c>
      <x:c r="Q488" t="str">
        <x:v>OK</x:v>
      </x:c>
    </x:row>
    <x:row r="489">
      <x:c r="A489" s="36" t="n">
        <x:v>46244</x:v>
      </x:c>
      <x:c r="B489" t="str">
        <x:v>Šakotis</x:v>
      </x:c>
      <x:c r="C489" t="str">
        <x:v>L336</x:v>
      </x:c>
      <x:c r="D489" t="str">
        <x:v>Kvapnioji medžiaga</x:v>
      </x:c>
      <x:c r="E489" s="38" t="n">
        <x:v>0.31499748</x:v>
      </x:c>
      <x:c r="F489" t="str">
        <x:v>Kvp0630</x:v>
      </x:c>
      <x:c r="G489" s="36" t="n">
        <x:v>46388</x:v>
      </x:c>
      <x:c r="H489" s="38" t="n">
        <x:v>0.31499748</x:v>
      </x:c>
      <x:c r="I489"/>
      <x:c r="J489" s="36"/>
      <x:c r="K489" s="38"/>
      <x:c r="L489"/>
      <x:c r="M489" s="36"/>
      <x:c r="N489" s="38"/>
      <x:c r="O489" s="38" t="n">
        <x:v>0.31499748</x:v>
      </x:c>
      <x:c r="P489" s="38" t="n">
        <x:v>0</x:v>
      </x:c>
      <x:c r="Q489" t="str">
        <x:v>OK</x:v>
      </x:c>
    </x:row>
    <x:row r="490">
      <x:c r="A490" s="36" t="n">
        <x:v>46244</x:v>
      </x:c>
      <x:c r="B490" t="str">
        <x:v>Šakotis</x:v>
      </x:c>
      <x:c r="C490" t="str">
        <x:v>L336</x:v>
      </x:c>
      <x:c r="D490" t="str">
        <x:v>Ciberžolė</x:v>
      </x:c>
      <x:c r="E490" s="38" t="n">
        <x:v>1.1024911800000001</x:v>
      </x:c>
      <x:c r="F490" t="str">
        <x:v>Cib0805</x:v>
      </x:c>
      <x:c r="G490" s="36" t="n">
        <x:v>46895</x:v>
      </x:c>
      <x:c r="H490" s="38" t="n">
        <x:v>1.1024911800000001</x:v>
      </x:c>
      <x:c r="I490"/>
      <x:c r="J490" s="36"/>
      <x:c r="K490" s="38"/>
      <x:c r="L490"/>
      <x:c r="M490" s="36"/>
      <x:c r="N490" s="38"/>
      <x:c r="O490" s="38" t="n">
        <x:v>1.1024911800000001</x:v>
      </x:c>
      <x:c r="P490" s="38" t="n">
        <x:v>0</x:v>
      </x:c>
      <x:c r="Q490" t="str">
        <x:v>OK</x:v>
      </x:c>
    </x:row>
    <x:row r="491">
      <x:c r="A491" s="36" t="n">
        <x:v>46244</x:v>
      </x:c>
      <x:c r="B491" t="str">
        <x:v>Šakotis</x:v>
      </x:c>
      <x:c r="C491" t="str">
        <x:v>L336</x:v>
      </x:c>
      <x:c r="D491" t="str">
        <x:v>Vanduo</x:v>
      </x:c>
      <x:c r="E491" s="38" t="n">
        <x:v>15.7470957</x:v>
      </x:c>
      <x:c r="F491" t="str">
        <x:v>Netaikoma</x:v>
      </x:c>
      <x:c r="G491" s="36"/>
      <x:c r="H491" s="38" t="n">
        <x:v>15.7470957</x:v>
      </x:c>
      <x:c r="I491"/>
      <x:c r="J491" s="36"/>
      <x:c r="K491" s="38"/>
      <x:c r="L491"/>
      <x:c r="M491" s="36"/>
      <x:c r="N491" s="38"/>
      <x:c r="O491" s="38" t="n">
        <x:v>15.7470957</x:v>
      </x:c>
      <x:c r="P491" s="38" t="n">
        <x:v>0</x:v>
      </x:c>
      <x:c r="Q491" t="str">
        <x:v>OK</x:v>
      </x:c>
    </x:row>
    <x:row r="492">
      <x:c r="A492" s="36" t="n">
        <x:v>46244</x:v>
      </x:c>
      <x:c r="B492" t="str">
        <x:v>Trapus šakotis</x:v>
      </x:c>
      <x:c r="C492" t="str">
        <x:v>L336</x:v>
      </x:c>
      <x:c r="D492" t="str">
        <x:v>Miltai</x:v>
      </x:c>
      <x:c r="E492" s="38" t="n">
        <x:v>79.9999872</x:v>
      </x:c>
      <x:c r="F492" t="str">
        <x:v>Mil0805</x:v>
      </x:c>
      <x:c r="G492" s="36" t="n">
        <x:v>46577</x:v>
      </x:c>
      <x:c r="H492" s="38" t="n">
        <x:v>79.9999872</x:v>
      </x:c>
      <x:c r="I492"/>
      <x:c r="J492" s="36"/>
      <x:c r="K492" s="38"/>
      <x:c r="L492"/>
      <x:c r="M492" s="36"/>
      <x:c r="N492" s="38"/>
      <x:c r="O492" s="38" t="n">
        <x:v>79.9999872</x:v>
      </x:c>
      <x:c r="P492" s="38" t="n">
        <x:v>0</x:v>
      </x:c>
      <x:c r="Q492" t="str">
        <x:v>OK</x:v>
      </x:c>
    </x:row>
    <x:row r="493">
      <x:c r="A493" s="36" t="n">
        <x:v>46244</x:v>
      </x:c>
      <x:c r="B493" t="str">
        <x:v>Trapus šakotis</x:v>
      </x:c>
      <x:c r="C493" t="str">
        <x:v>L336</x:v>
      </x:c>
      <x:c r="D493" t="str">
        <x:v>Grietinės mišinys</x:v>
      </x:c>
      <x:c r="E493" s="38" t="n">
        <x:v>57.59999392</x:v>
      </x:c>
      <x:c r="F493" t="str">
        <x:v>Gr0805</x:v>
      </x:c>
      <x:c r="G493" s="36" t="n">
        <x:v>46248</x:v>
      </x:c>
      <x:c r="H493" s="38" t="n">
        <x:v>49.200010640000016</x:v>
      </x:c>
      <x:c r="I493" t="str">
        <x:v>Gr0810</x:v>
      </x:c>
      <x:c r="J493" s="36" t="n">
        <x:v>46251</x:v>
      </x:c>
      <x:c r="K493" s="38" t="n">
        <x:v>8.399983279999987</x:v>
      </x:c>
      <x:c r="L493"/>
      <x:c r="M493" s="36"/>
      <x:c r="N493" s="38"/>
      <x:c r="O493" s="38" t="n">
        <x:v>57.59999392</x:v>
      </x:c>
      <x:c r="P493" s="38" t="n">
        <x:v>0</x:v>
      </x:c>
      <x:c r="Q493" t="str">
        <x:v>OK</x:v>
      </x:c>
    </x:row>
    <x:row r="494">
      <x:c r="A494" s="36" t="n">
        <x:v>46244</x:v>
      </x:c>
      <x:c r="B494" t="str">
        <x:v>Trapus šakotis</x:v>
      </x:c>
      <x:c r="C494" t="str">
        <x:v>L336</x:v>
      </x:c>
      <x:c r="D494" t="str">
        <x:v>Kiaušiniai</x:v>
      </x:c>
      <x:c r="E494" s="38" t="n">
        <x:v>79.9999872</x:v>
      </x:c>
      <x:c r="F494" t="str">
        <x:v>K0803</x:v>
      </x:c>
      <x:c r="G494" s="36" t="n">
        <x:v>46257</x:v>
      </x:c>
      <x:c r="H494" s="38" t="n">
        <x:v>79.9999872</x:v>
      </x:c>
      <x:c r="I494"/>
      <x:c r="J494" s="36"/>
      <x:c r="K494" s="38"/>
      <x:c r="L494"/>
      <x:c r="M494" s="36"/>
      <x:c r="N494" s="38"/>
      <x:c r="O494" s="38" t="n">
        <x:v>79.9999872</x:v>
      </x:c>
      <x:c r="P494" s="38" t="n">
        <x:v>0</x:v>
      </x:c>
      <x:c r="Q494" t="str">
        <x:v>OK</x:v>
      </x:c>
    </x:row>
    <x:row r="495">
      <x:c r="A495" s="36" t="n">
        <x:v>46244</x:v>
      </x:c>
      <x:c r="B495" t="str">
        <x:v>Trapus šakotis</x:v>
      </x:c>
      <x:c r="C495" t="str">
        <x:v>L336</x:v>
      </x:c>
      <x:c r="D495" t="str">
        <x:v>Cukrus</x:v>
      </x:c>
      <x:c r="E495" s="38" t="n">
        <x:v>47.999992320000004</x:v>
      </x:c>
      <x:c r="F495" t="str">
        <x:v>Cuk0727</x:v>
      </x:c>
      <x:c r="G495" s="36" t="n">
        <x:v>46388</x:v>
      </x:c>
      <x:c r="H495" s="38" t="n">
        <x:v>47.999992320000004</x:v>
      </x:c>
      <x:c r="I495"/>
      <x:c r="J495" s="36"/>
      <x:c r="K495" s="38"/>
      <x:c r="L495"/>
      <x:c r="M495" s="36"/>
      <x:c r="N495" s="38"/>
      <x:c r="O495" s="38" t="n">
        <x:v>47.999992320000004</x:v>
      </x:c>
      <x:c r="P495" s="38" t="n">
        <x:v>0</x:v>
      </x:c>
      <x:c r="Q495" t="str">
        <x:v>OK</x:v>
      </x:c>
    </x:row>
    <x:row r="496">
      <x:c r="A496" s="36" t="n">
        <x:v>46244</x:v>
      </x:c>
      <x:c r="B496" t="str">
        <x:v>Trapus šakotis</x:v>
      </x:c>
      <x:c r="C496" t="str">
        <x:v>L336</x:v>
      </x:c>
      <x:c r="D496" t="str">
        <x:v>Margarinas trapiam "IEVA"</x:v>
      </x:c>
      <x:c r="E496" s="38" t="n">
        <x:v>56.639923200000005</x:v>
      </x:c>
      <x:c r="F496" t="str">
        <x:v>MarI0702</x:v>
      </x:c>
      <x:c r="G496" s="36" t="n">
        <x:v>46373</x:v>
      </x:c>
      <x:c r="H496" s="38" t="n">
        <x:v>56.639923200000005</x:v>
      </x:c>
      <x:c r="I496"/>
      <x:c r="J496" s="36"/>
      <x:c r="K496" s="38"/>
      <x:c r="L496"/>
      <x:c r="M496" s="36"/>
      <x:c r="N496" s="38"/>
      <x:c r="O496" s="38" t="n">
        <x:v>56.639923200000005</x:v>
      </x:c>
      <x:c r="P496" s="38" t="n">
        <x:v>0</x:v>
      </x:c>
      <x:c r="Q496" t="str">
        <x:v>OK</x:v>
      </x:c>
    </x:row>
    <x:row r="497">
      <x:c r="A497" s="36" t="n">
        <x:v>46244</x:v>
      </x:c>
      <x:c r="B497" t="str">
        <x:v>Trapus šakotis</x:v>
      </x:c>
      <x:c r="C497" t="str">
        <x:v>L336</x:v>
      </x:c>
      <x:c r="D497"/>
      <x:c r="E497" s="38"/>
      <x:c r="F497"/>
      <x:c r="G497" s="36"/>
      <x:c r="H497" s="38"/>
      <x:c r="I497"/>
      <x:c r="J497" s="36"/>
      <x:c r="K497" s="38"/>
      <x:c r="L497"/>
      <x:c r="M497" s="36"/>
      <x:c r="N497" s="38"/>
      <x:c r="O497" s="38"/>
      <x:c r="P497" s="38"/>
      <x:c r="Q497"/>
    </x:row>
    <x:row r="498">
      <x:c r="A498" s="36" t="n">
        <x:v>46244</x:v>
      </x:c>
      <x:c r="B498" t="str">
        <x:v>Trapus šakotis</x:v>
      </x:c>
      <x:c r="C498" t="str">
        <x:v>L336</x:v>
      </x:c>
      <x:c r="D498"/>
      <x:c r="E498" s="38"/>
      <x:c r="F498"/>
      <x:c r="G498" s="36"/>
      <x:c r="H498" s="38"/>
      <x:c r="I498"/>
      <x:c r="J498" s="36"/>
      <x:c r="K498" s="38"/>
      <x:c r="L498"/>
      <x:c r="M498" s="36"/>
      <x:c r="N498" s="38"/>
      <x:c r="O498" s="38"/>
      <x:c r="P498" s="38"/>
      <x:c r="Q498"/>
    </x:row>
    <x:row r="499">
      <x:c r="A499" s="36" t="n">
        <x:v>46244</x:v>
      </x:c>
      <x:c r="B499" t="str">
        <x:v>Trapus šakotis</x:v>
      </x:c>
      <x:c r="C499" t="str">
        <x:v>L336</x:v>
      </x:c>
      <x:c r="D499"/>
      <x:c r="E499" s="38"/>
      <x:c r="F499"/>
      <x:c r="G499" s="36"/>
      <x:c r="H499" s="38"/>
      <x:c r="I499"/>
      <x:c r="J499" s="36"/>
      <x:c r="K499" s="38"/>
      <x:c r="L499"/>
      <x:c r="M499" s="36"/>
      <x:c r="N499" s="38"/>
      <x:c r="O499" s="38"/>
      <x:c r="P499" s="38"/>
      <x:c r="Q499"/>
    </x:row>
    <x:row r="500">
      <x:c r="A500" s="36" t="n">
        <x:v>46244</x:v>
      </x:c>
      <x:c r="B500" t="str">
        <x:v>Šakotis su sviestu</x:v>
      </x:c>
      <x:c r="C500" t="str">
        <x:v>L336</x:v>
      </x:c>
      <x:c r="D500" t="str">
        <x:v>Miltai</x:v>
      </x:c>
      <x:c r="E500" s="38" t="n">
        <x:v>11.99999808</x:v>
      </x:c>
      <x:c r="F500" t="str">
        <x:v>Mil0805</x:v>
      </x:c>
      <x:c r="G500" s="36" t="n">
        <x:v>46577</x:v>
      </x:c>
      <x:c r="H500" s="38" t="n">
        <x:v>11.99999808</x:v>
      </x:c>
      <x:c r="I500"/>
      <x:c r="J500" s="36"/>
      <x:c r="K500" s="38"/>
      <x:c r="L500"/>
      <x:c r="M500" s="36"/>
      <x:c r="N500" s="38"/>
      <x:c r="O500" s="38" t="n">
        <x:v>11.99999808</x:v>
      </x:c>
      <x:c r="P500" s="38" t="n">
        <x:v>0</x:v>
      </x:c>
      <x:c r="Q500" t="str">
        <x:v>OK</x:v>
      </x:c>
    </x:row>
    <x:row r="501">
      <x:c r="A501" s="36" t="n">
        <x:v>46244</x:v>
      </x:c>
      <x:c r="B501" t="str">
        <x:v>Šakotis su sviestu</x:v>
      </x:c>
      <x:c r="C501" t="str">
        <x:v>L336</x:v>
      </x:c>
      <x:c r="D501" t="str">
        <x:v>Pienas</x:v>
      </x:c>
      <x:c r="E501" s="38" t="n">
        <x:v>4.49999928</x:v>
      </x:c>
      <x:c r="F501" t="str">
        <x:v>P0805</x:v>
      </x:c>
      <x:c r="G501" s="36" t="n">
        <x:v>46245</x:v>
      </x:c>
      <x:c r="H501" s="38" t="n">
        <x:v>4.49999928</x:v>
      </x:c>
      <x:c r="I501"/>
      <x:c r="J501" s="36"/>
      <x:c r="K501" s="38"/>
      <x:c r="L501"/>
      <x:c r="M501" s="36"/>
      <x:c r="N501" s="38"/>
      <x:c r="O501" s="38" t="n">
        <x:v>4.49999928</x:v>
      </x:c>
      <x:c r="P501" s="38" t="n">
        <x:v>0</x:v>
      </x:c>
      <x:c r="Q501" t="str">
        <x:v>OK</x:v>
      </x:c>
    </x:row>
    <x:row r="502">
      <x:c r="A502" s="36" t="n">
        <x:v>46244</x:v>
      </x:c>
      <x:c r="B502" t="str">
        <x:v>Šakotis su sviestu</x:v>
      </x:c>
      <x:c r="C502" t="str">
        <x:v>L336</x:v>
      </x:c>
      <x:c r="D502" t="str">
        <x:v>Kiaušiniai</x:v>
      </x:c>
      <x:c r="E502" s="38" t="n">
        <x:v>16.4999856</x:v>
      </x:c>
      <x:c r="F502" t="str">
        <x:v>K0803</x:v>
      </x:c>
      <x:c r="G502" s="36" t="n">
        <x:v>46257</x:v>
      </x:c>
      <x:c r="H502" s="38" t="n">
        <x:v>16.4999856</x:v>
      </x:c>
      <x:c r="I502"/>
      <x:c r="J502" s="36"/>
      <x:c r="K502" s="38"/>
      <x:c r="L502"/>
      <x:c r="M502" s="36"/>
      <x:c r="N502" s="38"/>
      <x:c r="O502" s="38" t="n">
        <x:v>16.4999856</x:v>
      </x:c>
      <x:c r="P502" s="38" t="n">
        <x:v>0</x:v>
      </x:c>
      <x:c r="Q502" t="str">
        <x:v>OK</x:v>
      </x:c>
    </x:row>
    <x:row r="503">
      <x:c r="A503" s="36" t="n">
        <x:v>46244</x:v>
      </x:c>
      <x:c r="B503" t="str">
        <x:v>Šakotis su sviestu</x:v>
      </x:c>
      <x:c r="C503" t="str">
        <x:v>L336</x:v>
      </x:c>
      <x:c r="D503" t="str">
        <x:v>Cukrus</x:v>
      </x:c>
      <x:c r="E503" s="38" t="n">
        <x:v>8.99999856</x:v>
      </x:c>
      <x:c r="F503" t="str">
        <x:v>Cuk0727</x:v>
      </x:c>
      <x:c r="G503" s="36" t="n">
        <x:v>46388</x:v>
      </x:c>
      <x:c r="H503" s="38" t="n">
        <x:v>8.99999856</x:v>
      </x:c>
      <x:c r="I503"/>
      <x:c r="J503" s="36"/>
      <x:c r="K503" s="38"/>
      <x:c r="L503"/>
      <x:c r="M503" s="36"/>
      <x:c r="N503" s="38"/>
      <x:c r="O503" s="38" t="n">
        <x:v>8.99999856</x:v>
      </x:c>
      <x:c r="P503" s="38" t="n">
        <x:v>0</x:v>
      </x:c>
      <x:c r="Q503" t="str">
        <x:v>OK</x:v>
      </x:c>
    </x:row>
    <x:row r="504">
      <x:c r="A504" s="36" t="n">
        <x:v>46244</x:v>
      </x:c>
      <x:c r="B504" t="str">
        <x:v>Šakotis su sviestu</x:v>
      </x:c>
      <x:c r="C504" t="str">
        <x:v>L336</x:v>
      </x:c>
      <x:c r="D504" t="str">
        <x:v>Sviestas</x:v>
      </x:c>
      <x:c r="E504" s="38" t="n">
        <x:v>8.99999856</x:v>
      </x:c>
      <x:c r="F504" t="str">
        <x:v>Sv0630</x:v>
      </x:c>
      <x:c r="G504" s="36" t="n">
        <x:v>46368</x:v>
      </x:c>
      <x:c r="H504" s="38" t="n">
        <x:v>8.99999856</x:v>
      </x:c>
      <x:c r="I504"/>
      <x:c r="J504" s="36"/>
      <x:c r="K504" s="38"/>
      <x:c r="L504"/>
      <x:c r="M504" s="36"/>
      <x:c r="N504" s="38"/>
      <x:c r="O504" s="38" t="n">
        <x:v>8.99999856</x:v>
      </x:c>
      <x:c r="P504" s="38" t="n">
        <x:v>0</x:v>
      </x:c>
      <x:c r="Q504" t="str">
        <x:v>OK</x:v>
      </x:c>
    </x:row>
    <x:row r="505">
      <x:c r="A505" s="36" t="n">
        <x:v>46244</x:v>
      </x:c>
      <x:c r="B505" t="str">
        <x:v>Šakotis su sviestu</x:v>
      </x:c>
      <x:c r="C505" t="str">
        <x:v>L336</x:v>
      </x:c>
      <x:c r="D505" t="str">
        <x:v>Kvapnioji medžiaga</x:v>
      </x:c>
      <x:c r="E505" s="38" t="n">
        <x:v>0.02999976</x:v>
      </x:c>
      <x:c r="F505" t="str">
        <x:v>Kvp0630</x:v>
      </x:c>
      <x:c r="G505" s="36" t="n">
        <x:v>46388</x:v>
      </x:c>
      <x:c r="H505" s="38" t="n">
        <x:v>0.02999976</x:v>
      </x:c>
      <x:c r="I505"/>
      <x:c r="J505" s="36"/>
      <x:c r="K505" s="38"/>
      <x:c r="L505"/>
      <x:c r="M505" s="36"/>
      <x:c r="N505" s="38"/>
      <x:c r="O505" s="38" t="n">
        <x:v>0.02999976</x:v>
      </x:c>
      <x:c r="P505" s="38" t="n">
        <x:v>0</x:v>
      </x:c>
      <x:c r="Q505" t="str">
        <x:v>OK</x:v>
      </x:c>
    </x:row>
    <x:row r="506">
      <x:c r="A506" s="36" t="n">
        <x:v>46244</x:v>
      </x:c>
      <x:c r="B506" t="str">
        <x:v>Šakotis su sviestu</x:v>
      </x:c>
      <x:c r="C506" t="str">
        <x:v>L336</x:v>
      </x:c>
      <x:c r="D506" t="str">
        <x:v>Ciberžolė</x:v>
      </x:c>
      <x:c r="E506" s="38" t="n">
        <x:v>0.10499916</x:v>
      </x:c>
      <x:c r="F506" t="str">
        <x:v>Cib0805</x:v>
      </x:c>
      <x:c r="G506" s="36" t="n">
        <x:v>46895</x:v>
      </x:c>
      <x:c r="H506" s="38" t="n">
        <x:v>0.10499916</x:v>
      </x:c>
      <x:c r="I506"/>
      <x:c r="J506" s="36"/>
      <x:c r="K506" s="38"/>
      <x:c r="L506"/>
      <x:c r="M506" s="36"/>
      <x:c r="N506" s="38"/>
      <x:c r="O506" s="38" t="n">
        <x:v>0.10499916</x:v>
      </x:c>
      <x:c r="P506" s="38" t="n">
        <x:v>0</x:v>
      </x:c>
      <x:c r="Q506" t="str">
        <x:v>OK</x:v>
      </x:c>
    </x:row>
    <x:row r="507">
      <x:c r="A507" s="36" t="n">
        <x:v>46244</x:v>
      </x:c>
      <x:c r="B507" t="str">
        <x:v>Šakotis su sviestu</x:v>
      </x:c>
      <x:c r="C507" t="str">
        <x:v>L336</x:v>
      </x:c>
      <x:c r="D507" t="str">
        <x:v>Vanduo</x:v>
      </x:c>
      <x:c r="E507" s="38" t="n">
        <x:v>2.999976</x:v>
      </x:c>
      <x:c r="F507" t="str">
        <x:v>Netaikoma</x:v>
      </x:c>
      <x:c r="G507" s="36"/>
      <x:c r="H507" s="38" t="n">
        <x:v>2.999976</x:v>
      </x:c>
      <x:c r="I507"/>
      <x:c r="J507" s="36"/>
      <x:c r="K507" s="38"/>
      <x:c r="L507"/>
      <x:c r="M507" s="36"/>
      <x:c r="N507" s="38"/>
      <x:c r="O507" s="38" t="n">
        <x:v>2.999976</x:v>
      </x:c>
      <x:c r="P507" s="38" t="n">
        <x:v>0</x:v>
      </x:c>
      <x:c r="Q507" t="str">
        <x:v>OK</x:v>
      </x:c>
    </x:row>
    <x:row r="508">
      <x:c r="A508" s="36" t="n">
        <x:v>46245</x:v>
      </x:c>
      <x:c r="B508" t="str">
        <x:v>Šakotis</x:v>
      </x:c>
      <x:c r="C508" t="str">
        <x:v>L336</x:v>
      </x:c>
      <x:c r="D508" t="str">
        <x:v>Miltai</x:v>
      </x:c>
      <x:c r="E508" s="38" t="n">
        <x:v>117.599981184</x:v>
      </x:c>
      <x:c r="F508" t="str">
        <x:v>Mil0805</x:v>
      </x:c>
      <x:c r="G508" s="36" t="n">
        <x:v>46577</x:v>
      </x:c>
      <x:c r="H508" s="38" t="n">
        <x:v>117.599981184</x:v>
      </x:c>
      <x:c r="I508"/>
      <x:c r="J508" s="36"/>
      <x:c r="K508" s="38"/>
      <x:c r="L508"/>
      <x:c r="M508" s="36"/>
      <x:c r="N508" s="38"/>
      <x:c r="O508" s="38" t="n">
        <x:v>117.599981184</x:v>
      </x:c>
      <x:c r="P508" s="38" t="n">
        <x:v>0</x:v>
      </x:c>
      <x:c r="Q508" t="str">
        <x:v>OK</x:v>
      </x:c>
    </x:row>
    <x:row r="509">
      <x:c r="A509" s="36" t="n">
        <x:v>46245</x:v>
      </x:c>
      <x:c r="B509" t="str">
        <x:v>Šakotis</x:v>
      </x:c>
      <x:c r="C509" t="str">
        <x:v>L336</x:v>
      </x:c>
      <x:c r="D509" t="str">
        <x:v>Pienas</x:v>
      </x:c>
      <x:c r="E509" s="38" t="n">
        <x:v>44.099992944</x:v>
      </x:c>
      <x:c r="F509" t="str">
        <x:v>P0805</x:v>
      </x:c>
      <x:c r="G509" s="36" t="n">
        <x:v>46245</x:v>
      </x:c>
      <x:c r="H509" s="38" t="n">
        <x:v>10.300071951999996</x:v>
      </x:c>
      <x:c r="I509" t="str">
        <x:v>P0810</x:v>
      </x:c>
      <x:c r="J509" s="36" t="n">
        <x:v>46248</x:v>
      </x:c>
      <x:c r="K509" s="38" t="n">
        <x:v>33.799920992000004</x:v>
      </x:c>
      <x:c r="L509"/>
      <x:c r="M509" s="36"/>
      <x:c r="N509" s="38"/>
      <x:c r="O509" s="38" t="n">
        <x:v>44.099992944</x:v>
      </x:c>
      <x:c r="P509" s="38" t="n">
        <x:v>0</x:v>
      </x:c>
      <x:c r="Q509" t="str">
        <x:v>OK</x:v>
      </x:c>
    </x:row>
    <x:row r="510">
      <x:c r="A510" s="36" t="n">
        <x:v>46245</x:v>
      </x:c>
      <x:c r="B510" t="str">
        <x:v>Šakotis</x:v>
      </x:c>
      <x:c r="C510" t="str">
        <x:v>L336</x:v>
      </x:c>
      <x:c r="D510" t="str">
        <x:v>Kiaušiniai</x:v>
      </x:c>
      <x:c r="E510" s="38" t="n">
        <x:v>161.69985888</x:v>
      </x:c>
      <x:c r="F510" t="str">
        <x:v>K0803</x:v>
      </x:c>
      <x:c r="G510" s="36" t="n">
        <x:v>46257</x:v>
      </x:c>
      <x:c r="H510" s="38" t="n">
        <x:v>161.69985888</x:v>
      </x:c>
      <x:c r="I510"/>
      <x:c r="J510" s="36"/>
      <x:c r="K510" s="38"/>
      <x:c r="L510"/>
      <x:c r="M510" s="36"/>
      <x:c r="N510" s="38"/>
      <x:c r="O510" s="38" t="n">
        <x:v>161.69985888</x:v>
      </x:c>
      <x:c r="P510" s="38" t="n">
        <x:v>0</x:v>
      </x:c>
      <x:c r="Q510" t="str">
        <x:v>OK</x:v>
      </x:c>
    </x:row>
    <x:row r="511">
      <x:c r="A511" s="36" t="n">
        <x:v>46245</x:v>
      </x:c>
      <x:c r="B511" t="str">
        <x:v>Šakotis</x:v>
      </x:c>
      <x:c r="C511" t="str">
        <x:v>L336</x:v>
      </x:c>
      <x:c r="D511" t="str">
        <x:v>Cukrus</x:v>
      </x:c>
      <x:c r="E511" s="38" t="n">
        <x:v>88.199985888</x:v>
      </x:c>
      <x:c r="F511" t="str">
        <x:v>Cuk0727</x:v>
      </x:c>
      <x:c r="G511" s="36" t="n">
        <x:v>46388</x:v>
      </x:c>
      <x:c r="H511" s="38" t="n">
        <x:v>41.806659759999775</x:v>
      </x:c>
      <x:c r="I511" t="str">
        <x:v>Cuk0730</x:v>
      </x:c>
      <x:c r="J511" s="36" t="n">
        <x:v>46388</x:v>
      </x:c>
      <x:c r="K511" s="38" t="n">
        <x:v>46.393326128000226</x:v>
      </x:c>
      <x:c r="L511"/>
      <x:c r="M511" s="36"/>
      <x:c r="N511" s="38"/>
      <x:c r="O511" s="38" t="n">
        <x:v>88.199985888</x:v>
      </x:c>
      <x:c r="P511" s="38" t="n">
        <x:v>0</x:v>
      </x:c>
      <x:c r="Q511" t="str">
        <x:v>OK</x:v>
      </x:c>
    </x:row>
    <x:row r="512">
      <x:c r="A512" s="36" t="n">
        <x:v>46245</x:v>
      </x:c>
      <x:c r="B512" t="str">
        <x:v>Šakotis</x:v>
      </x:c>
      <x:c r="C512" t="str">
        <x:v>L336</x:v>
      </x:c>
      <x:c r="D512" t="str">
        <x:v>Margarinas Šakočiui "Alvas"</x:v>
      </x:c>
      <x:c r="E512" s="38" t="n">
        <x:v>88.199985888</x:v>
      </x:c>
      <x:c r="F512" t="str">
        <x:v>MarA0730</x:v>
      </x:c>
      <x:c r="G512" s="36" t="n">
        <x:v>46322</x:v>
      </x:c>
      <x:c r="H512" s="38" t="n">
        <x:v>88.199985888</x:v>
      </x:c>
      <x:c r="I512"/>
      <x:c r="J512" s="36"/>
      <x:c r="K512" s="38"/>
      <x:c r="L512"/>
      <x:c r="M512" s="36"/>
      <x:c r="N512" s="38"/>
      <x:c r="O512" s="38" t="n">
        <x:v>88.199985888</x:v>
      </x:c>
      <x:c r="P512" s="38" t="n">
        <x:v>0</x:v>
      </x:c>
      <x:c r="Q512" t="str">
        <x:v>OK</x:v>
      </x:c>
    </x:row>
    <x:row r="513">
      <x:c r="A513" s="36" t="n">
        <x:v>46245</x:v>
      </x:c>
      <x:c r="B513" t="str">
        <x:v>Šakotis</x:v>
      </x:c>
      <x:c r="C513" t="str">
        <x:v>L336</x:v>
      </x:c>
      <x:c r="D513" t="str">
        <x:v>Kvapnioji medžiaga</x:v>
      </x:c>
      <x:c r="E513" s="38" t="n">
        <x:v>0.29399764800000006</x:v>
      </x:c>
      <x:c r="F513" t="str">
        <x:v>Kvp0630</x:v>
      </x:c>
      <x:c r="G513" s="36" t="n">
        <x:v>46388</x:v>
      </x:c>
      <x:c r="H513" s="38" t="n">
        <x:v>0.29399764800000006</x:v>
      </x:c>
      <x:c r="I513"/>
      <x:c r="J513" s="36"/>
      <x:c r="K513" s="38"/>
      <x:c r="L513"/>
      <x:c r="M513" s="36"/>
      <x:c r="N513" s="38"/>
      <x:c r="O513" s="38" t="n">
        <x:v>0.29399764800000006</x:v>
      </x:c>
      <x:c r="P513" s="38" t="n">
        <x:v>0</x:v>
      </x:c>
      <x:c r="Q513" t="str">
        <x:v>OK</x:v>
      </x:c>
    </x:row>
    <x:row r="514">
      <x:c r="A514" s="36" t="n">
        <x:v>46245</x:v>
      </x:c>
      <x:c r="B514" t="str">
        <x:v>Šakotis</x:v>
      </x:c>
      <x:c r="C514" t="str">
        <x:v>L336</x:v>
      </x:c>
      <x:c r="D514" t="str">
        <x:v>Ciberžolė</x:v>
      </x:c>
      <x:c r="E514" s="38" t="n">
        <x:v>1.028991768</x:v>
      </x:c>
      <x:c r="F514" t="str">
        <x:v>Cib0805</x:v>
      </x:c>
      <x:c r="G514" s="36" t="n">
        <x:v>46895</x:v>
      </x:c>
      <x:c r="H514" s="38" t="n">
        <x:v>1.028991768</x:v>
      </x:c>
      <x:c r="I514"/>
      <x:c r="J514" s="36"/>
      <x:c r="K514" s="38"/>
      <x:c r="L514"/>
      <x:c r="M514" s="36"/>
      <x:c r="N514" s="38"/>
      <x:c r="O514" s="38" t="n">
        <x:v>1.028991768</x:v>
      </x:c>
      <x:c r="P514" s="38" t="n">
        <x:v>0</x:v>
      </x:c>
      <x:c r="Q514" t="str">
        <x:v>OK</x:v>
      </x:c>
    </x:row>
    <x:row r="515">
      <x:c r="A515" s="36" t="n">
        <x:v>46245</x:v>
      </x:c>
      <x:c r="B515" t="str">
        <x:v>Šakotis</x:v>
      </x:c>
      <x:c r="C515" t="str">
        <x:v>L336</x:v>
      </x:c>
      <x:c r="D515" t="str">
        <x:v>Vanduo</x:v>
      </x:c>
      <x:c r="E515" s="38" t="n">
        <x:v>14.697289320000001</x:v>
      </x:c>
      <x:c r="F515" t="str">
        <x:v>Netaikoma</x:v>
      </x:c>
      <x:c r="G515" s="36"/>
      <x:c r="H515" s="38" t="n">
        <x:v>14.697289320000001</x:v>
      </x:c>
      <x:c r="I515"/>
      <x:c r="J515" s="36"/>
      <x:c r="K515" s="38"/>
      <x:c r="L515"/>
      <x:c r="M515" s="36"/>
      <x:c r="N515" s="38"/>
      <x:c r="O515" s="38" t="n">
        <x:v>14.697289320000001</x:v>
      </x:c>
      <x:c r="P515" s="38" t="n">
        <x:v>0</x:v>
      </x:c>
      <x:c r="Q515" t="str">
        <x:v>OK</x:v>
      </x:c>
    </x:row>
    <x:row r="516">
      <x:c r="A516" s="36" t="n">
        <x:v>46245</x:v>
      </x:c>
      <x:c r="B516" t="str">
        <x:v>Trapus šakotis</x:v>
      </x:c>
      <x:c r="C516" t="str">
        <x:v>L336</x:v>
      </x:c>
      <x:c r="D516" t="str">
        <x:v>Miltai</x:v>
      </x:c>
      <x:c r="E516" s="38" t="n">
        <x:v>79.9999872</x:v>
      </x:c>
      <x:c r="F516" t="str">
        <x:v>Mil0805</x:v>
      </x:c>
      <x:c r="G516" s="36" t="n">
        <x:v>46577</x:v>
      </x:c>
      <x:c r="H516" s="38" t="n">
        <x:v>79.9999872</x:v>
      </x:c>
      <x:c r="I516"/>
      <x:c r="J516" s="36"/>
      <x:c r="K516" s="38"/>
      <x:c r="L516"/>
      <x:c r="M516" s="36"/>
      <x:c r="N516" s="38"/>
      <x:c r="O516" s="38" t="n">
        <x:v>79.9999872</x:v>
      </x:c>
      <x:c r="P516" s="38" t="n">
        <x:v>0</x:v>
      </x:c>
      <x:c r="Q516" t="str">
        <x:v>OK</x:v>
      </x:c>
    </x:row>
    <x:row r="517">
      <x:c r="A517" s="36" t="n">
        <x:v>46245</x:v>
      </x:c>
      <x:c r="B517" t="str">
        <x:v>Trapus šakotis</x:v>
      </x:c>
      <x:c r="C517" t="str">
        <x:v>L336</x:v>
      </x:c>
      <x:c r="D517" t="str">
        <x:v>Grietinės mišinys</x:v>
      </x:c>
      <x:c r="E517" s="38" t="n">
        <x:v>57.59999392</x:v>
      </x:c>
      <x:c r="F517" t="str">
        <x:v>Gr0810</x:v>
      </x:c>
      <x:c r="G517" s="36" t="n">
        <x:v>46251</x:v>
      </x:c>
      <x:c r="H517" s="38" t="n">
        <x:v>57.59999392</x:v>
      </x:c>
      <x:c r="I517"/>
      <x:c r="J517" s="36"/>
      <x:c r="K517" s="38"/>
      <x:c r="L517"/>
      <x:c r="M517" s="36"/>
      <x:c r="N517" s="38"/>
      <x:c r="O517" s="38" t="n">
        <x:v>57.59999392</x:v>
      </x:c>
      <x:c r="P517" s="38" t="n">
        <x:v>0</x:v>
      </x:c>
      <x:c r="Q517" t="str">
        <x:v>OK</x:v>
      </x:c>
    </x:row>
    <x:row r="518">
      <x:c r="A518" s="36" t="n">
        <x:v>46245</x:v>
      </x:c>
      <x:c r="B518" t="str">
        <x:v>Trapus šakotis</x:v>
      </x:c>
      <x:c r="C518" t="str">
        <x:v>L336</x:v>
      </x:c>
      <x:c r="D518" t="str">
        <x:v>Kiaušiniai</x:v>
      </x:c>
      <x:c r="E518" s="38" t="n">
        <x:v>79.9999872</x:v>
      </x:c>
      <x:c r="F518" t="str">
        <x:v>K0803</x:v>
      </x:c>
      <x:c r="G518" s="36" t="n">
        <x:v>46257</x:v>
      </x:c>
      <x:c r="H518" s="38" t="n">
        <x:v>79.9999872</x:v>
      </x:c>
      <x:c r="I518"/>
      <x:c r="J518" s="36"/>
      <x:c r="K518" s="38"/>
      <x:c r="L518"/>
      <x:c r="M518" s="36"/>
      <x:c r="N518" s="38"/>
      <x:c r="O518" s="38" t="n">
        <x:v>79.9999872</x:v>
      </x:c>
      <x:c r="P518" s="38" t="n">
        <x:v>0</x:v>
      </x:c>
      <x:c r="Q518" t="str">
        <x:v>OK</x:v>
      </x:c>
    </x:row>
    <x:row r="519">
      <x:c r="A519" s="36" t="n">
        <x:v>46245</x:v>
      </x:c>
      <x:c r="B519" t="str">
        <x:v>Trapus šakotis</x:v>
      </x:c>
      <x:c r="C519" t="str">
        <x:v>L336</x:v>
      </x:c>
      <x:c r="D519" t="str">
        <x:v>Cukrus</x:v>
      </x:c>
      <x:c r="E519" s="38" t="n">
        <x:v>47.999992320000004</x:v>
      </x:c>
      <x:c r="F519" t="str">
        <x:v>Cuk0730</x:v>
      </x:c>
      <x:c r="G519" s="36" t="n">
        <x:v>46388</x:v>
      </x:c>
      <x:c r="H519" s="38" t="n">
        <x:v>47.999992320000004</x:v>
      </x:c>
      <x:c r="I519"/>
      <x:c r="J519" s="36"/>
      <x:c r="K519" s="38"/>
      <x:c r="L519"/>
      <x:c r="M519" s="36"/>
      <x:c r="N519" s="38"/>
      <x:c r="O519" s="38" t="n">
        <x:v>47.999992320000004</x:v>
      </x:c>
      <x:c r="P519" s="38" t="n">
        <x:v>0</x:v>
      </x:c>
      <x:c r="Q519" t="str">
        <x:v>OK</x:v>
      </x:c>
    </x:row>
    <x:row r="520">
      <x:c r="A520" s="36" t="n">
        <x:v>46245</x:v>
      </x:c>
      <x:c r="B520" t="str">
        <x:v>Trapus šakotis</x:v>
      </x:c>
      <x:c r="C520" t="str">
        <x:v>L336</x:v>
      </x:c>
      <x:c r="D520" t="str">
        <x:v>Margarinas trapiam "IEVA"</x:v>
      </x:c>
      <x:c r="E520" s="38" t="n">
        <x:v>56.639923200000005</x:v>
      </x:c>
      <x:c r="F520" t="str">
        <x:v>MarI0702</x:v>
      </x:c>
      <x:c r="G520" s="36" t="n">
        <x:v>46373</x:v>
      </x:c>
      <x:c r="H520" s="38" t="n">
        <x:v>30.53826368</x:v>
      </x:c>
      <x:c r="I520" t="str">
        <x:v>MarI0730</x:v>
      </x:c>
      <x:c r="J520" s="36" t="n">
        <x:v>46401</x:v>
      </x:c>
      <x:c r="K520" s="38" t="n">
        <x:v>26.101659520000005</x:v>
      </x:c>
      <x:c r="L520"/>
      <x:c r="M520" s="36"/>
      <x:c r="N520" s="38"/>
      <x:c r="O520" s="38" t="n">
        <x:v>56.639923200000005</x:v>
      </x:c>
      <x:c r="P520" s="38" t="n">
        <x:v>0</x:v>
      </x:c>
      <x:c r="Q520" t="str">
        <x:v>OK</x:v>
      </x:c>
    </x:row>
    <x:row r="521">
      <x:c r="A521" s="36" t="n">
        <x:v>46245</x:v>
      </x:c>
      <x:c r="B521" t="str">
        <x:v>Trapus šakotis</x:v>
      </x:c>
      <x:c r="C521" t="str">
        <x:v>L336</x:v>
      </x:c>
      <x:c r="D521"/>
      <x:c r="E521" s="38"/>
      <x:c r="F521"/>
      <x:c r="G521" s="36"/>
      <x:c r="H521" s="38"/>
      <x:c r="I521"/>
      <x:c r="J521" s="36"/>
      <x:c r="K521" s="38"/>
      <x:c r="L521"/>
      <x:c r="M521" s="36"/>
      <x:c r="N521" s="38"/>
      <x:c r="O521" s="38"/>
      <x:c r="P521" s="38"/>
      <x:c r="Q521"/>
    </x:row>
    <x:row r="522">
      <x:c r="A522" s="36" t="n">
        <x:v>46245</x:v>
      </x:c>
      <x:c r="B522" t="str">
        <x:v>Trapus šakotis</x:v>
      </x:c>
      <x:c r="C522" t="str">
        <x:v>L336</x:v>
      </x:c>
      <x:c r="D522"/>
      <x:c r="E522" s="38"/>
      <x:c r="F522"/>
      <x:c r="G522" s="36"/>
      <x:c r="H522" s="38"/>
      <x:c r="I522"/>
      <x:c r="J522" s="36"/>
      <x:c r="K522" s="38"/>
      <x:c r="L522"/>
      <x:c r="M522" s="36"/>
      <x:c r="N522" s="38"/>
      <x:c r="O522" s="38"/>
      <x:c r="P522" s="38"/>
      <x:c r="Q522"/>
    </x:row>
    <x:row r="523">
      <x:c r="A523" s="36" t="n">
        <x:v>46245</x:v>
      </x:c>
      <x:c r="B523" t="str">
        <x:v>Trapus šakotis</x:v>
      </x:c>
      <x:c r="C523" t="str">
        <x:v>L336</x:v>
      </x:c>
      <x:c r="D523"/>
      <x:c r="E523" s="38"/>
      <x:c r="F523"/>
      <x:c r="G523" s="36"/>
      <x:c r="H523" s="38"/>
      <x:c r="I523"/>
      <x:c r="J523" s="36"/>
      <x:c r="K523" s="38"/>
      <x:c r="L523"/>
      <x:c r="M523" s="36"/>
      <x:c r="N523" s="38"/>
      <x:c r="O523" s="38"/>
      <x:c r="P523" s="38"/>
      <x:c r="Q523"/>
    </x:row>
    <x:row r="524">
      <x:c r="A524" s="36" t="n">
        <x:v>46246</x:v>
      </x:c>
      <x:c r="B524" t="str">
        <x:v>Trapus šakotis</x:v>
      </x:c>
      <x:c r="C524" t="str">
        <x:v>L336</x:v>
      </x:c>
      <x:c r="D524" t="str">
        <x:v>Miltai</x:v>
      </x:c>
      <x:c r="E524" s="38" t="n">
        <x:v>79.9999872</x:v>
      </x:c>
      <x:c r="F524" t="str">
        <x:v>Mil0805</x:v>
      </x:c>
      <x:c r="G524" s="36" t="n">
        <x:v>46577</x:v>
      </x:c>
      <x:c r="H524" s="38" t="n">
        <x:v>79.9999872</x:v>
      </x:c>
      <x:c r="I524"/>
      <x:c r="J524" s="36"/>
      <x:c r="K524" s="38"/>
      <x:c r="L524"/>
      <x:c r="M524" s="36"/>
      <x:c r="N524" s="38"/>
      <x:c r="O524" s="38" t="n">
        <x:v>79.9999872</x:v>
      </x:c>
      <x:c r="P524" s="38" t="n">
        <x:v>0</x:v>
      </x:c>
      <x:c r="Q524" t="str">
        <x:v>OK</x:v>
      </x:c>
    </x:row>
    <x:row r="525">
      <x:c r="A525" s="36" t="n">
        <x:v>46246</x:v>
      </x:c>
      <x:c r="B525" t="str">
        <x:v>Trapus šakotis</x:v>
      </x:c>
      <x:c r="C525" t="str">
        <x:v>L336</x:v>
      </x:c>
      <x:c r="D525" t="str">
        <x:v>Grietinės mišinys</x:v>
      </x:c>
      <x:c r="E525" s="38" t="n">
        <x:v>57.59999392</x:v>
      </x:c>
      <x:c r="F525" t="str">
        <x:v>Gr0810</x:v>
      </x:c>
      <x:c r="G525" s="36" t="n">
        <x:v>46251</x:v>
      </x:c>
      <x:c r="H525" s="38" t="n">
        <x:v>57.59999392</x:v>
      </x:c>
      <x:c r="I525"/>
      <x:c r="J525" s="36"/>
      <x:c r="K525" s="38"/>
      <x:c r="L525"/>
      <x:c r="M525" s="36"/>
      <x:c r="N525" s="38"/>
      <x:c r="O525" s="38" t="n">
        <x:v>57.59999392</x:v>
      </x:c>
      <x:c r="P525" s="38" t="n">
        <x:v>0</x:v>
      </x:c>
      <x:c r="Q525" t="str">
        <x:v>OK</x:v>
      </x:c>
    </x:row>
    <x:row r="526">
      <x:c r="A526" s="36" t="n">
        <x:v>46246</x:v>
      </x:c>
      <x:c r="B526" t="str">
        <x:v>Trapus šakotis</x:v>
      </x:c>
      <x:c r="C526" t="str">
        <x:v>L336</x:v>
      </x:c>
      <x:c r="D526" t="str">
        <x:v>Kiaušiniai</x:v>
      </x:c>
      <x:c r="E526" s="38" t="n">
        <x:v>79.9999872</x:v>
      </x:c>
      <x:c r="F526" t="str">
        <x:v>K0803</x:v>
      </x:c>
      <x:c r="G526" s="36" t="n">
        <x:v>46257</x:v>
      </x:c>
      <x:c r="H526" s="38" t="n">
        <x:v>79.9999872</x:v>
      </x:c>
      <x:c r="I526"/>
      <x:c r="J526" s="36"/>
      <x:c r="K526" s="38"/>
      <x:c r="L526"/>
      <x:c r="M526" s="36"/>
      <x:c r="N526" s="38"/>
      <x:c r="O526" s="38" t="n">
        <x:v>79.9999872</x:v>
      </x:c>
      <x:c r="P526" s="38" t="n">
        <x:v>0</x:v>
      </x:c>
      <x:c r="Q526" t="str">
        <x:v>OK</x:v>
      </x:c>
    </x:row>
    <x:row r="527">
      <x:c r="A527" s="36" t="n">
        <x:v>46246</x:v>
      </x:c>
      <x:c r="B527" t="str">
        <x:v>Trapus šakotis</x:v>
      </x:c>
      <x:c r="C527" t="str">
        <x:v>L336</x:v>
      </x:c>
      <x:c r="D527" t="str">
        <x:v>Cukrus</x:v>
      </x:c>
      <x:c r="E527" s="38" t="n">
        <x:v>47.999992320000004</x:v>
      </x:c>
      <x:c r="F527" t="str">
        <x:v>Cuk0730</x:v>
      </x:c>
      <x:c r="G527" s="36" t="n">
        <x:v>46388</x:v>
      </x:c>
      <x:c r="H527" s="38" t="n">
        <x:v>47.999992320000004</x:v>
      </x:c>
      <x:c r="I527"/>
      <x:c r="J527" s="36"/>
      <x:c r="K527" s="38"/>
      <x:c r="L527"/>
      <x:c r="M527" s="36"/>
      <x:c r="N527" s="38"/>
      <x:c r="O527" s="38" t="n">
        <x:v>47.999992320000004</x:v>
      </x:c>
      <x:c r="P527" s="38" t="n">
        <x:v>0</x:v>
      </x:c>
      <x:c r="Q527" t="str">
        <x:v>OK</x:v>
      </x:c>
    </x:row>
    <x:row r="528">
      <x:c r="A528" s="36" t="n">
        <x:v>46246</x:v>
      </x:c>
      <x:c r="B528" t="str">
        <x:v>Trapus šakotis</x:v>
      </x:c>
      <x:c r="C528" t="str">
        <x:v>L336</x:v>
      </x:c>
      <x:c r="D528" t="str">
        <x:v>Margarinas trapiam "IEVA"</x:v>
      </x:c>
      <x:c r="E528" s="38" t="n">
        <x:v>56.639923200000005</x:v>
      </x:c>
      <x:c r="F528" t="str">
        <x:v>MarI0730</x:v>
      </x:c>
      <x:c r="G528" s="36" t="n">
        <x:v>46401</x:v>
      </x:c>
      <x:c r="H528" s="38" t="n">
        <x:v>56.639923200000005</x:v>
      </x:c>
      <x:c r="I528"/>
      <x:c r="J528" s="36"/>
      <x:c r="K528" s="38"/>
      <x:c r="L528"/>
      <x:c r="M528" s="36"/>
      <x:c r="N528" s="38"/>
      <x:c r="O528" s="38" t="n">
        <x:v>56.639923200000005</x:v>
      </x:c>
      <x:c r="P528" s="38" t="n">
        <x:v>0</x:v>
      </x:c>
      <x:c r="Q528" t="str">
        <x:v>OK</x:v>
      </x:c>
    </x:row>
    <x:row r="529">
      <x:c r="A529" s="36" t="n">
        <x:v>46246</x:v>
      </x:c>
      <x:c r="B529" t="str">
        <x:v>Trapus šakotis</x:v>
      </x:c>
      <x:c r="C529" t="str">
        <x:v>L336</x:v>
      </x:c>
      <x:c r="D529"/>
      <x:c r="E529" s="38"/>
      <x:c r="F529"/>
      <x:c r="G529" s="36"/>
      <x:c r="H529" s="38"/>
      <x:c r="I529"/>
      <x:c r="J529" s="36"/>
      <x:c r="K529" s="38"/>
      <x:c r="L529"/>
      <x:c r="M529" s="36"/>
      <x:c r="N529" s="38"/>
      <x:c r="O529" s="38"/>
      <x:c r="P529" s="38"/>
      <x:c r="Q529"/>
    </x:row>
    <x:row r="530">
      <x:c r="A530" s="36" t="n">
        <x:v>46246</x:v>
      </x:c>
      <x:c r="B530" t="str">
        <x:v>Trapus šakotis</x:v>
      </x:c>
      <x:c r="C530" t="str">
        <x:v>L336</x:v>
      </x:c>
      <x:c r="D530"/>
      <x:c r="E530" s="38"/>
      <x:c r="F530"/>
      <x:c r="G530" s="36"/>
      <x:c r="H530" s="38"/>
      <x:c r="I530"/>
      <x:c r="J530" s="36"/>
      <x:c r="K530" s="38"/>
      <x:c r="L530"/>
      <x:c r="M530" s="36"/>
      <x:c r="N530" s="38"/>
      <x:c r="O530" s="38"/>
      <x:c r="P530" s="38"/>
      <x:c r="Q530"/>
    </x:row>
    <x:row r="531">
      <x:c r="A531" s="36" t="n">
        <x:v>46246</x:v>
      </x:c>
      <x:c r="B531" t="str">
        <x:v>Trapus šakotis</x:v>
      </x:c>
      <x:c r="C531" t="str">
        <x:v>L336</x:v>
      </x:c>
      <x:c r="D531"/>
      <x:c r="E531" s="38"/>
      <x:c r="F531"/>
      <x:c r="G531" s="36"/>
      <x:c r="H531" s="38"/>
      <x:c r="I531"/>
      <x:c r="J531" s="36"/>
      <x:c r="K531" s="38"/>
      <x:c r="L531"/>
      <x:c r="M531" s="36"/>
      <x:c r="N531" s="38"/>
      <x:c r="O531" s="38"/>
      <x:c r="P531" s="38"/>
      <x:c r="Q531"/>
    </x:row>
    <x:row r="532">
      <x:c r="A532" s="36" t="n">
        <x:v>46246</x:v>
      </x:c>
      <x:c r="B532" t="str">
        <x:v>Šakotis su sviestu</x:v>
      </x:c>
      <x:c r="C532" t="str">
        <x:v>L336</x:v>
      </x:c>
      <x:c r="D532" t="str">
        <x:v>Miltai</x:v>
      </x:c>
      <x:c r="E532" s="38" t="n">
        <x:v>116.399981376</x:v>
      </x:c>
      <x:c r="F532" t="str">
        <x:v>Mil0805</x:v>
      </x:c>
      <x:c r="G532" s="36" t="n">
        <x:v>46577</x:v>
      </x:c>
      <x:c r="H532" s="38" t="n">
        <x:v>116.399981376</x:v>
      </x:c>
      <x:c r="I532"/>
      <x:c r="J532" s="36"/>
      <x:c r="K532" s="38"/>
      <x:c r="L532"/>
      <x:c r="M532" s="36"/>
      <x:c r="N532" s="38"/>
      <x:c r="O532" s="38" t="n">
        <x:v>116.399981376</x:v>
      </x:c>
      <x:c r="P532" s="38" t="n">
        <x:v>0</x:v>
      </x:c>
      <x:c r="Q532" t="str">
        <x:v>OK</x:v>
      </x:c>
    </x:row>
    <x:row r="533">
      <x:c r="A533" s="36" t="n">
        <x:v>46246</x:v>
      </x:c>
      <x:c r="B533" t="str">
        <x:v>Šakotis su sviestu</x:v>
      </x:c>
      <x:c r="C533" t="str">
        <x:v>L336</x:v>
      </x:c>
      <x:c r="D533" t="str">
        <x:v>Pienas</x:v>
      </x:c>
      <x:c r="E533" s="38" t="n">
        <x:v>43.649993016</x:v>
      </x:c>
      <x:c r="F533" t="str">
        <x:v>P0810</x:v>
      </x:c>
      <x:c r="G533" s="36" t="n">
        <x:v>46248</x:v>
      </x:c>
      <x:c r="H533" s="38" t="n">
        <x:v>43.649993016</x:v>
      </x:c>
      <x:c r="I533"/>
      <x:c r="J533" s="36"/>
      <x:c r="K533" s="38"/>
      <x:c r="L533"/>
      <x:c r="M533" s="36"/>
      <x:c r="N533" s="38"/>
      <x:c r="O533" s="38" t="n">
        <x:v>43.649993016</x:v>
      </x:c>
      <x:c r="P533" s="38" t="n">
        <x:v>0</x:v>
      </x:c>
      <x:c r="Q533" t="str">
        <x:v>OK</x:v>
      </x:c>
    </x:row>
    <x:row r="534">
      <x:c r="A534" s="36" t="n">
        <x:v>46246</x:v>
      </x:c>
      <x:c r="B534" t="str">
        <x:v>Šakotis su sviestu</x:v>
      </x:c>
      <x:c r="C534" t="str">
        <x:v>L336</x:v>
      </x:c>
      <x:c r="D534" t="str">
        <x:v>Kiaušiniai</x:v>
      </x:c>
      <x:c r="E534" s="38" t="n">
        <x:v>160.04986032</x:v>
      </x:c>
      <x:c r="F534" t="str">
        <x:v>K0803</x:v>
      </x:c>
      <x:c r="G534" s="36" t="n">
        <x:v>46257</x:v>
      </x:c>
      <x:c r="H534" s="38" t="n">
        <x:v>160.04986032</x:v>
      </x:c>
      <x:c r="I534"/>
      <x:c r="J534" s="36"/>
      <x:c r="K534" s="38"/>
      <x:c r="L534"/>
      <x:c r="M534" s="36"/>
      <x:c r="N534" s="38"/>
      <x:c r="O534" s="38" t="n">
        <x:v>160.04986032</x:v>
      </x:c>
      <x:c r="P534" s="38" t="n">
        <x:v>0</x:v>
      </x:c>
      <x:c r="Q534" t="str">
        <x:v>OK</x:v>
      </x:c>
    </x:row>
    <x:row r="535">
      <x:c r="A535" s="36" t="n">
        <x:v>46246</x:v>
      </x:c>
      <x:c r="B535" t="str">
        <x:v>Šakotis su sviestu</x:v>
      </x:c>
      <x:c r="C535" t="str">
        <x:v>L336</x:v>
      </x:c>
      <x:c r="D535" t="str">
        <x:v>Cukrus</x:v>
      </x:c>
      <x:c r="E535" s="38" t="n">
        <x:v>87.299986032</x:v>
      </x:c>
      <x:c r="F535" t="str">
        <x:v>Cuk0730</x:v>
      </x:c>
      <x:c r="G535" s="36" t="n">
        <x:v>46388</x:v>
      </x:c>
      <x:c r="H535" s="38" t="n">
        <x:v>87.299986032</x:v>
      </x:c>
      <x:c r="I535"/>
      <x:c r="J535" s="36"/>
      <x:c r="K535" s="38"/>
      <x:c r="L535"/>
      <x:c r="M535" s="36"/>
      <x:c r="N535" s="38"/>
      <x:c r="O535" s="38" t="n">
        <x:v>87.299986032</x:v>
      </x:c>
      <x:c r="P535" s="38" t="n">
        <x:v>0</x:v>
      </x:c>
      <x:c r="Q535" t="str">
        <x:v>OK</x:v>
      </x:c>
    </x:row>
    <x:row r="536">
      <x:c r="A536" s="36" t="n">
        <x:v>46246</x:v>
      </x:c>
      <x:c r="B536" t="str">
        <x:v>Šakotis su sviestu</x:v>
      </x:c>
      <x:c r="C536" t="str">
        <x:v>L336</x:v>
      </x:c>
      <x:c r="D536" t="str">
        <x:v>Sviestas</x:v>
      </x:c>
      <x:c r="E536" s="38" t="n">
        <x:v>87.299986032</x:v>
      </x:c>
      <x:c r="F536" t="str">
        <x:v>Sv0630</x:v>
      </x:c>
      <x:c r="G536" s="36" t="n">
        <x:v>46368</x:v>
      </x:c>
      <x:c r="H536" s="38" t="n">
        <x:v>87.299986032</x:v>
      </x:c>
      <x:c r="I536"/>
      <x:c r="J536" s="36"/>
      <x:c r="K536" s="38"/>
      <x:c r="L536"/>
      <x:c r="M536" s="36"/>
      <x:c r="N536" s="38"/>
      <x:c r="O536" s="38" t="n">
        <x:v>87.299986032</x:v>
      </x:c>
      <x:c r="P536" s="38" t="n">
        <x:v>0</x:v>
      </x:c>
      <x:c r="Q536" t="str">
        <x:v>OK</x:v>
      </x:c>
    </x:row>
    <x:row r="537">
      <x:c r="A537" s="36" t="n">
        <x:v>46246</x:v>
      </x:c>
      <x:c r="B537" t="str">
        <x:v>Šakotis su sviestu</x:v>
      </x:c>
      <x:c r="C537" t="str">
        <x:v>L336</x:v>
      </x:c>
      <x:c r="D537" t="str">
        <x:v>Kvapnioji medžiaga</x:v>
      </x:c>
      <x:c r="E537" s="38" t="n">
        <x:v>0.29099767200000004</x:v>
      </x:c>
      <x:c r="F537" t="str">
        <x:v>Kvp0630</x:v>
      </x:c>
      <x:c r="G537" s="36" t="n">
        <x:v>46388</x:v>
      </x:c>
      <x:c r="H537" s="38" t="n">
        <x:v>0.29099767200000004</x:v>
      </x:c>
      <x:c r="I537"/>
      <x:c r="J537" s="36"/>
      <x:c r="K537" s="38"/>
      <x:c r="L537"/>
      <x:c r="M537" s="36"/>
      <x:c r="N537" s="38"/>
      <x:c r="O537" s="38" t="n">
        <x:v>0.29099767200000004</x:v>
      </x:c>
      <x:c r="P537" s="38" t="n">
        <x:v>0</x:v>
      </x:c>
      <x:c r="Q537" t="str">
        <x:v>OK</x:v>
      </x:c>
    </x:row>
    <x:row r="538">
      <x:c r="A538" s="36" t="n">
        <x:v>46246</x:v>
      </x:c>
      <x:c r="B538" t="str">
        <x:v>Šakotis su sviestu</x:v>
      </x:c>
      <x:c r="C538" t="str">
        <x:v>L336</x:v>
      </x:c>
      <x:c r="D538" t="str">
        <x:v>Ciberžolė</x:v>
      </x:c>
      <x:c r="E538" s="38" t="n">
        <x:v>1.0184918520000001</x:v>
      </x:c>
      <x:c r="F538" t="str">
        <x:v>Cib0805</x:v>
      </x:c>
      <x:c r="G538" s="36" t="n">
        <x:v>46895</x:v>
      </x:c>
      <x:c r="H538" s="38" t="n">
        <x:v>1.0184918520000001</x:v>
      </x:c>
      <x:c r="I538"/>
      <x:c r="J538" s="36"/>
      <x:c r="K538" s="38"/>
      <x:c r="L538"/>
      <x:c r="M538" s="36"/>
      <x:c r="N538" s="38"/>
      <x:c r="O538" s="38" t="n">
        <x:v>1.0184918520000001</x:v>
      </x:c>
      <x:c r="P538" s="38" t="n">
        <x:v>0</x:v>
      </x:c>
      <x:c r="Q538" t="str">
        <x:v>OK</x:v>
      </x:c>
    </x:row>
    <x:row r="539">
      <x:c r="A539" s="36" t="n">
        <x:v>46246</x:v>
      </x:c>
      <x:c r="B539" t="str">
        <x:v>Šakotis su sviestu</x:v>
      </x:c>
      <x:c r="C539" t="str">
        <x:v>L336</x:v>
      </x:c>
      <x:c r="D539" t="str">
        <x:v>Vanduo</x:v>
      </x:c>
      <x:c r="E539" s="38" t="n">
        <x:v>29.099767200000002</x:v>
      </x:c>
      <x:c r="F539" t="str">
        <x:v>Netaikoma</x:v>
      </x:c>
      <x:c r="G539" s="36"/>
      <x:c r="H539" s="38" t="n">
        <x:v>29.099767200000002</x:v>
      </x:c>
      <x:c r="I539"/>
      <x:c r="J539" s="36"/>
      <x:c r="K539" s="38"/>
      <x:c r="L539"/>
      <x:c r="M539" s="36"/>
      <x:c r="N539" s="38"/>
      <x:c r="O539" s="38" t="n">
        <x:v>29.099767200000002</x:v>
      </x:c>
      <x:c r="P539" s="38" t="n">
        <x:v>0</x:v>
      </x:c>
      <x:c r="Q539" t="str">
        <x:v>OK</x:v>
      </x:c>
    </x:row>
    <x:row r="540">
      <x:c r="A540" s="36" t="n">
        <x:v>46247</x:v>
      </x:c>
      <x:c r="B540" t="str">
        <x:v>Šakotis</x:v>
      </x:c>
      <x:c r="C540" t="str">
        <x:v>L336</x:v>
      </x:c>
      <x:c r="D540" t="str">
        <x:v>Miltai</x:v>
      </x:c>
      <x:c r="E540" s="38" t="n">
        <x:v>82.79998675200001</x:v>
      </x:c>
      <x:c r="F540" t="str">
        <x:v>Mil0805</x:v>
      </x:c>
      <x:c r="G540" s="36" t="n">
        <x:v>46577</x:v>
      </x:c>
      <x:c r="H540" s="38" t="n">
        <x:v>82.79998675200001</x:v>
      </x:c>
      <x:c r="I540"/>
      <x:c r="J540" s="36"/>
      <x:c r="K540" s="38"/>
      <x:c r="L540"/>
      <x:c r="M540" s="36"/>
      <x:c r="N540" s="38"/>
      <x:c r="O540" s="38" t="n">
        <x:v>82.79998675200001</x:v>
      </x:c>
      <x:c r="P540" s="38" t="n">
        <x:v>0</x:v>
      </x:c>
      <x:c r="Q540" t="str">
        <x:v>OK</x:v>
      </x:c>
    </x:row>
    <x:row r="541">
      <x:c r="A541" s="36" t="n">
        <x:v>46247</x:v>
      </x:c>
      <x:c r="B541" t="str">
        <x:v>Šakotis</x:v>
      </x:c>
      <x:c r="C541" t="str">
        <x:v>L336</x:v>
      </x:c>
      <x:c r="D541" t="str">
        <x:v>Pienas</x:v>
      </x:c>
      <x:c r="E541" s="38" t="n">
        <x:v>31.049995032000005</x:v>
      </x:c>
      <x:c r="F541" t="str">
        <x:v>P0810</x:v>
      </x:c>
      <x:c r="G541" s="36" t="n">
        <x:v>46248</x:v>
      </x:c>
      <x:c r="H541" s="38" t="n">
        <x:v>22.550085991999993</x:v>
      </x:c>
      <x:c r="I541" t="str">
        <x:v>P0812</x:v>
      </x:c>
      <x:c r="J541" s="36" t="n">
        <x:v>46252</x:v>
      </x:c>
      <x:c r="K541" s="38" t="n">
        <x:v>8.499909040000013</x:v>
      </x:c>
      <x:c r="L541"/>
      <x:c r="M541" s="36"/>
      <x:c r="N541" s="38"/>
      <x:c r="O541" s="38" t="n">
        <x:v>31.049995032000005</x:v>
      </x:c>
      <x:c r="P541" s="38" t="n">
        <x:v>0</x:v>
      </x:c>
      <x:c r="Q541" t="str">
        <x:v>OK</x:v>
      </x:c>
    </x:row>
    <x:row r="542">
      <x:c r="A542" s="36" t="n">
        <x:v>46247</x:v>
      </x:c>
      <x:c r="B542" t="str">
        <x:v>Šakotis</x:v>
      </x:c>
      <x:c r="C542" t="str">
        <x:v>L336</x:v>
      </x:c>
      <x:c r="D542" t="str">
        <x:v>Kiaušiniai</x:v>
      </x:c>
      <x:c r="E542" s="38" t="n">
        <x:v>113.84990064</x:v>
      </x:c>
      <x:c r="F542" t="str">
        <x:v>K0803</x:v>
      </x:c>
      <x:c r="G542" s="36" t="n">
        <x:v>46257</x:v>
      </x:c>
      <x:c r="H542" s="38" t="n">
        <x:v>113.84990064</x:v>
      </x:c>
      <x:c r="I542"/>
      <x:c r="J542" s="36"/>
      <x:c r="K542" s="38"/>
      <x:c r="L542"/>
      <x:c r="M542" s="36"/>
      <x:c r="N542" s="38"/>
      <x:c r="O542" s="38" t="n">
        <x:v>113.84990064</x:v>
      </x:c>
      <x:c r="P542" s="38" t="n">
        <x:v>0</x:v>
      </x:c>
      <x:c r="Q542" t="str">
        <x:v>OK</x:v>
      </x:c>
    </x:row>
    <x:row r="543">
      <x:c r="A543" s="36" t="n">
        <x:v>46247</x:v>
      </x:c>
      <x:c r="B543" t="str">
        <x:v>Šakotis</x:v>
      </x:c>
      <x:c r="C543" t="str">
        <x:v>L336</x:v>
      </x:c>
      <x:c r="D543" t="str">
        <x:v>Cukrus</x:v>
      </x:c>
      <x:c r="E543" s="38" t="n">
        <x:v>62.09999006400001</x:v>
      </x:c>
      <x:c r="F543" t="str">
        <x:v>Cuk0730</x:v>
      </x:c>
      <x:c r="G543" s="36" t="n">
        <x:v>46388</x:v>
      </x:c>
      <x:c r="H543" s="38" t="n">
        <x:v>62.09999006400001</x:v>
      </x:c>
      <x:c r="I543"/>
      <x:c r="J543" s="36"/>
      <x:c r="K543" s="38"/>
      <x:c r="L543"/>
      <x:c r="M543" s="36"/>
      <x:c r="N543" s="38"/>
      <x:c r="O543" s="38" t="n">
        <x:v>62.09999006400001</x:v>
      </x:c>
      <x:c r="P543" s="38" t="n">
        <x:v>0</x:v>
      </x:c>
      <x:c r="Q543" t="str">
        <x:v>OK</x:v>
      </x:c>
    </x:row>
    <x:row r="544">
      <x:c r="A544" s="36" t="n">
        <x:v>46247</x:v>
      </x:c>
      <x:c r="B544" t="str">
        <x:v>Šakotis</x:v>
      </x:c>
      <x:c r="C544" t="str">
        <x:v>L336</x:v>
      </x:c>
      <x:c r="D544" t="str">
        <x:v>Margarinas Šakočiui "Alvas"</x:v>
      </x:c>
      <x:c r="E544" s="38" t="n">
        <x:v>62.09999006400001</x:v>
      </x:c>
      <x:c r="F544" t="str">
        <x:v>MarA0730</x:v>
      </x:c>
      <x:c r="G544" s="36" t="n">
        <x:v>46322</x:v>
      </x:c>
      <x:c r="H544" s="38" t="n">
        <x:v>62.09999006400001</x:v>
      </x:c>
      <x:c r="I544"/>
      <x:c r="J544" s="36"/>
      <x:c r="K544" s="38"/>
      <x:c r="L544"/>
      <x:c r="M544" s="36"/>
      <x:c r="N544" s="38"/>
      <x:c r="O544" s="38" t="n">
        <x:v>62.09999006400001</x:v>
      </x:c>
      <x:c r="P544" s="38" t="n">
        <x:v>0</x:v>
      </x:c>
      <x:c r="Q544" t="str">
        <x:v>OK</x:v>
      </x:c>
    </x:row>
    <x:row r="545">
      <x:c r="A545" s="36" t="n">
        <x:v>46247</x:v>
      </x:c>
      <x:c r="B545" t="str">
        <x:v>Šakotis</x:v>
      </x:c>
      <x:c r="C545" t="str">
        <x:v>L336</x:v>
      </x:c>
      <x:c r="D545" t="str">
        <x:v>Kvapnioji medžiaga</x:v>
      </x:c>
      <x:c r="E545" s="38" t="n">
        <x:v>0.20699834400000003</x:v>
      </x:c>
      <x:c r="F545" t="str">
        <x:v>Kvp0630</x:v>
      </x:c>
      <x:c r="G545" s="36" t="n">
        <x:v>46388</x:v>
      </x:c>
      <x:c r="H545" s="38" t="n">
        <x:v>0.20699834400000003</x:v>
      </x:c>
      <x:c r="I545"/>
      <x:c r="J545" s="36"/>
      <x:c r="K545" s="38"/>
      <x:c r="L545"/>
      <x:c r="M545" s="36"/>
      <x:c r="N545" s="38"/>
      <x:c r="O545" s="38" t="n">
        <x:v>0.20699834400000003</x:v>
      </x:c>
      <x:c r="P545" s="38" t="n">
        <x:v>0</x:v>
      </x:c>
      <x:c r="Q545" t="str">
        <x:v>OK</x:v>
      </x:c>
    </x:row>
    <x:row r="546">
      <x:c r="A546" s="36" t="n">
        <x:v>46247</x:v>
      </x:c>
      <x:c r="B546" t="str">
        <x:v>Šakotis</x:v>
      </x:c>
      <x:c r="C546" t="str">
        <x:v>L336</x:v>
      </x:c>
      <x:c r="D546" t="str">
        <x:v>Ciberžolė</x:v>
      </x:c>
      <x:c r="E546" s="38" t="n">
        <x:v>0.7244942040000001</x:v>
      </x:c>
      <x:c r="F546" t="str">
        <x:v>Cib0805</x:v>
      </x:c>
      <x:c r="G546" s="36" t="n">
        <x:v>46895</x:v>
      </x:c>
      <x:c r="H546" s="38" t="n">
        <x:v>0.7244942040000001</x:v>
      </x:c>
      <x:c r="I546"/>
      <x:c r="J546" s="36"/>
      <x:c r="K546" s="38"/>
      <x:c r="L546"/>
      <x:c r="M546" s="36"/>
      <x:c r="N546" s="38"/>
      <x:c r="O546" s="38" t="n">
        <x:v>0.7244942040000001</x:v>
      </x:c>
      <x:c r="P546" s="38" t="n">
        <x:v>0</x:v>
      </x:c>
      <x:c r="Q546" t="str">
        <x:v>OK</x:v>
      </x:c>
    </x:row>
    <x:row r="547">
      <x:c r="A547" s="36" t="n">
        <x:v>46247</x:v>
      </x:c>
      <x:c r="B547" t="str">
        <x:v>Šakotis</x:v>
      </x:c>
      <x:c r="C547" t="str">
        <x:v>L336</x:v>
      </x:c>
      <x:c r="D547" t="str">
        <x:v>Vanduo</x:v>
      </x:c>
      <x:c r="E547" s="38" t="n">
        <x:v>10.348091460000001</x:v>
      </x:c>
      <x:c r="F547" t="str">
        <x:v>Netaikoma</x:v>
      </x:c>
      <x:c r="G547" s="36"/>
      <x:c r="H547" s="38" t="n">
        <x:v>10.348091460000001</x:v>
      </x:c>
      <x:c r="I547"/>
      <x:c r="J547" s="36"/>
      <x:c r="K547" s="38"/>
      <x:c r="L547"/>
      <x:c r="M547" s="36"/>
      <x:c r="N547" s="38"/>
      <x:c r="O547" s="38" t="n">
        <x:v>10.348091460000001</x:v>
      </x:c>
      <x:c r="P547" s="38" t="n">
        <x:v>0</x:v>
      </x:c>
      <x:c r="Q547" t="str">
        <x:v>OK</x:v>
      </x:c>
    </x:row>
    <x:row r="548">
      <x:c r="A548" s="36" t="n">
        <x:v>46247</x:v>
      </x:c>
      <x:c r="B548" t="str">
        <x:v>Trapus šakotis</x:v>
      </x:c>
      <x:c r="C548" t="str">
        <x:v>L336</x:v>
      </x:c>
      <x:c r="D548" t="str">
        <x:v>Miltai</x:v>
      </x:c>
      <x:c r="E548" s="38" t="n">
        <x:v>79.9999872</x:v>
      </x:c>
      <x:c r="F548" t="str">
        <x:v>Mil0805</x:v>
      </x:c>
      <x:c r="G548" s="36" t="n">
        <x:v>46577</x:v>
      </x:c>
      <x:c r="H548" s="38" t="n">
        <x:v>79.9999872</x:v>
      </x:c>
      <x:c r="I548"/>
      <x:c r="J548" s="36"/>
      <x:c r="K548" s="38"/>
      <x:c r="L548"/>
      <x:c r="M548" s="36"/>
      <x:c r="N548" s="38"/>
      <x:c r="O548" s="38" t="n">
        <x:v>79.9999872</x:v>
      </x:c>
      <x:c r="P548" s="38" t="n">
        <x:v>0</x:v>
      </x:c>
      <x:c r="Q548" t="str">
        <x:v>OK</x:v>
      </x:c>
    </x:row>
    <x:row r="549">
      <x:c r="A549" s="36" t="n">
        <x:v>46247</x:v>
      </x:c>
      <x:c r="B549" t="str">
        <x:v>Trapus šakotis</x:v>
      </x:c>
      <x:c r="C549" t="str">
        <x:v>L336</x:v>
      </x:c>
      <x:c r="D549" t="str">
        <x:v>Grietinės mišinys</x:v>
      </x:c>
      <x:c r="E549" s="38" t="n">
        <x:v>57.59999392</x:v>
      </x:c>
      <x:c r="F549" t="str">
        <x:v>Gr0810</x:v>
      </x:c>
      <x:c r="G549" s="36" t="n">
        <x:v>46251</x:v>
      </x:c>
      <x:c r="H549" s="38" t="n">
        <x:v>26.400028880000008</x:v>
      </x:c>
      <x:c r="I549" t="str">
        <x:v>Gr0812</x:v>
      </x:c>
      <x:c r="J549" s="36" t="n">
        <x:v>46255</x:v>
      </x:c>
      <x:c r="K549" s="38" t="n">
        <x:v>31.199965039999995</x:v>
      </x:c>
      <x:c r="L549"/>
      <x:c r="M549" s="36"/>
      <x:c r="N549" s="38"/>
      <x:c r="O549" s="38" t="n">
        <x:v>57.59999392</x:v>
      </x:c>
      <x:c r="P549" s="38" t="n">
        <x:v>0</x:v>
      </x:c>
      <x:c r="Q549" t="str">
        <x:v>OK</x:v>
      </x:c>
    </x:row>
    <x:row r="550">
      <x:c r="A550" s="36" t="n">
        <x:v>46247</x:v>
      </x:c>
      <x:c r="B550" t="str">
        <x:v>Trapus šakotis</x:v>
      </x:c>
      <x:c r="C550" t="str">
        <x:v>L336</x:v>
      </x:c>
      <x:c r="D550" t="str">
        <x:v>Kiaušiniai</x:v>
      </x:c>
      <x:c r="E550" s="38" t="n">
        <x:v>79.9999872</x:v>
      </x:c>
      <x:c r="F550" t="str">
        <x:v>K0803</x:v>
      </x:c>
      <x:c r="G550" s="36" t="n">
        <x:v>46257</x:v>
      </x:c>
      <x:c r="H550" s="38" t="n">
        <x:v>79.9999872</x:v>
      </x:c>
      <x:c r="I550"/>
      <x:c r="J550" s="36"/>
      <x:c r="K550" s="38"/>
      <x:c r="L550"/>
      <x:c r="M550" s="36"/>
      <x:c r="N550" s="38"/>
      <x:c r="O550" s="38" t="n">
        <x:v>79.9999872</x:v>
      </x:c>
      <x:c r="P550" s="38" t="n">
        <x:v>0</x:v>
      </x:c>
      <x:c r="Q550" t="str">
        <x:v>OK</x:v>
      </x:c>
    </x:row>
    <x:row r="551">
      <x:c r="A551" s="36" t="n">
        <x:v>46247</x:v>
      </x:c>
      <x:c r="B551" t="str">
        <x:v>Trapus šakotis</x:v>
      </x:c>
      <x:c r="C551" t="str">
        <x:v>L336</x:v>
      </x:c>
      <x:c r="D551" t="str">
        <x:v>Cukrus</x:v>
      </x:c>
      <x:c r="E551" s="38" t="n">
        <x:v>47.999992320000004</x:v>
      </x:c>
      <x:c r="F551" t="str">
        <x:v>Cuk0730</x:v>
      </x:c>
      <x:c r="G551" s="36" t="n">
        <x:v>46388</x:v>
      </x:c>
      <x:c r="H551" s="38" t="n">
        <x:v>47.999992320000004</x:v>
      </x:c>
      <x:c r="I551"/>
      <x:c r="J551" s="36"/>
      <x:c r="K551" s="38"/>
      <x:c r="L551"/>
      <x:c r="M551" s="36"/>
      <x:c r="N551" s="38"/>
      <x:c r="O551" s="38" t="n">
        <x:v>47.999992320000004</x:v>
      </x:c>
      <x:c r="P551" s="38" t="n">
        <x:v>0</x:v>
      </x:c>
      <x:c r="Q551" t="str">
        <x:v>OK</x:v>
      </x:c>
    </x:row>
    <x:row r="552">
      <x:c r="A552" s="36" t="n">
        <x:v>46247</x:v>
      </x:c>
      <x:c r="B552" t="str">
        <x:v>Trapus šakotis</x:v>
      </x:c>
      <x:c r="C552" t="str">
        <x:v>L336</x:v>
      </x:c>
      <x:c r="D552" t="str">
        <x:v>Margarinas trapiam "IEVA"</x:v>
      </x:c>
      <x:c r="E552" s="38" t="n">
        <x:v>56.639923200000005</x:v>
      </x:c>
      <x:c r="F552" t="str">
        <x:v>MarI0730</x:v>
      </x:c>
      <x:c r="G552" s="36" t="n">
        <x:v>46401</x:v>
      </x:c>
      <x:c r="H552" s="38" t="n">
        <x:v>56.639923200000005</x:v>
      </x:c>
      <x:c r="I552"/>
      <x:c r="J552" s="36"/>
      <x:c r="K552" s="38"/>
      <x:c r="L552"/>
      <x:c r="M552" s="36"/>
      <x:c r="N552" s="38"/>
      <x:c r="O552" s="38" t="n">
        <x:v>56.639923200000005</x:v>
      </x:c>
      <x:c r="P552" s="38" t="n">
        <x:v>0</x:v>
      </x:c>
      <x:c r="Q552" t="str">
        <x:v>OK</x:v>
      </x:c>
    </x:row>
    <x:row r="553">
      <x:c r="A553" s="36" t="n">
        <x:v>46247</x:v>
      </x:c>
      <x:c r="B553" t="str">
        <x:v>Trapus šakotis</x:v>
      </x:c>
      <x:c r="C553" t="str">
        <x:v>L336</x:v>
      </x:c>
      <x:c r="D553"/>
      <x:c r="E553" s="38"/>
      <x:c r="F553"/>
      <x:c r="G553" s="36"/>
      <x:c r="H553" s="38"/>
      <x:c r="I553"/>
      <x:c r="J553" s="36"/>
      <x:c r="K553" s="38"/>
      <x:c r="L553"/>
      <x:c r="M553" s="36"/>
      <x:c r="N553" s="38"/>
      <x:c r="O553" s="38"/>
      <x:c r="P553" s="38"/>
      <x:c r="Q553"/>
    </x:row>
    <x:row r="554">
      <x:c r="A554" s="36" t="n">
        <x:v>46247</x:v>
      </x:c>
      <x:c r="B554" t="str">
        <x:v>Trapus šakotis</x:v>
      </x:c>
      <x:c r="C554" t="str">
        <x:v>L336</x:v>
      </x:c>
      <x:c r="D554"/>
      <x:c r="E554" s="38"/>
      <x:c r="F554"/>
      <x:c r="G554" s="36"/>
      <x:c r="H554" s="38"/>
      <x:c r="I554"/>
      <x:c r="J554" s="36"/>
      <x:c r="K554" s="38"/>
      <x:c r="L554"/>
      <x:c r="M554" s="36"/>
      <x:c r="N554" s="38"/>
      <x:c r="O554" s="38"/>
      <x:c r="P554" s="38"/>
      <x:c r="Q554"/>
    </x:row>
    <x:row r="555">
      <x:c r="A555" s="36" t="n">
        <x:v>46247</x:v>
      </x:c>
      <x:c r="B555" t="str">
        <x:v>Trapus šakotis</x:v>
      </x:c>
      <x:c r="C555" t="str">
        <x:v>L336</x:v>
      </x:c>
      <x:c r="D555"/>
      <x:c r="E555" s="38"/>
      <x:c r="F555"/>
      <x:c r="G555" s="36"/>
      <x:c r="H555" s="38"/>
      <x:c r="I555"/>
      <x:c r="J555" s="36"/>
      <x:c r="K555" s="38"/>
      <x:c r="L555"/>
      <x:c r="M555" s="36"/>
      <x:c r="N555" s="38"/>
      <x:c r="O555" s="38"/>
      <x:c r="P555" s="38"/>
      <x:c r="Q555"/>
    </x:row>
    <x:row r="556">
      <x:c r="A556" s="36" t="n">
        <x:v>46247</x:v>
      </x:c>
      <x:c r="B556" t="str">
        <x:v>Šakotis su sviestu</x:v>
      </x:c>
      <x:c r="C556" t="str">
        <x:v>L336</x:v>
      </x:c>
      <x:c r="D556" t="str">
        <x:v>Miltai</x:v>
      </x:c>
      <x:c r="E556" s="38" t="n">
        <x:v>31.999994880000003</x:v>
      </x:c>
      <x:c r="F556" t="str">
        <x:v>Mil0805</x:v>
      </x:c>
      <x:c r="G556" s="36" t="n">
        <x:v>46577</x:v>
      </x:c>
      <x:c r="H556" s="38" t="n">
        <x:v>31.999994880000003</x:v>
      </x:c>
      <x:c r="I556"/>
      <x:c r="J556" s="36"/>
      <x:c r="K556" s="38"/>
      <x:c r="L556"/>
      <x:c r="M556" s="36"/>
      <x:c r="N556" s="38"/>
      <x:c r="O556" s="38" t="n">
        <x:v>31.999994880000003</x:v>
      </x:c>
      <x:c r="P556" s="38" t="n">
        <x:v>0</x:v>
      </x:c>
      <x:c r="Q556" t="str">
        <x:v>OK</x:v>
      </x:c>
    </x:row>
    <x:row r="557">
      <x:c r="A557" s="36" t="n">
        <x:v>46247</x:v>
      </x:c>
      <x:c r="B557" t="str">
        <x:v>Šakotis su sviestu</x:v>
      </x:c>
      <x:c r="C557" t="str">
        <x:v>L336</x:v>
      </x:c>
      <x:c r="D557" t="str">
        <x:v>Pienas</x:v>
      </x:c>
      <x:c r="E557" s="38" t="n">
        <x:v>11.999998080000001</x:v>
      </x:c>
      <x:c r="F557" t="str">
        <x:v>P0812</x:v>
      </x:c>
      <x:c r="G557" s="36" t="n">
        <x:v>46252</x:v>
      </x:c>
      <x:c r="H557" s="38" t="n">
        <x:v>11.999998080000001</x:v>
      </x:c>
      <x:c r="I557"/>
      <x:c r="J557" s="36"/>
      <x:c r="K557" s="38"/>
      <x:c r="L557"/>
      <x:c r="M557" s="36"/>
      <x:c r="N557" s="38"/>
      <x:c r="O557" s="38" t="n">
        <x:v>11.999998080000001</x:v>
      </x:c>
      <x:c r="P557" s="38" t="n">
        <x:v>0</x:v>
      </x:c>
      <x:c r="Q557" t="str">
        <x:v>OK</x:v>
      </x:c>
    </x:row>
    <x:row r="558">
      <x:c r="A558" s="36" t="n">
        <x:v>46247</x:v>
      </x:c>
      <x:c r="B558" t="str">
        <x:v>Šakotis su sviestu</x:v>
      </x:c>
      <x:c r="C558" t="str">
        <x:v>L336</x:v>
      </x:c>
      <x:c r="D558" t="str">
        <x:v>Kiaušiniai</x:v>
      </x:c>
      <x:c r="E558" s="38" t="n">
        <x:v>43.9999616</x:v>
      </x:c>
      <x:c r="F558" t="str">
        <x:v>K0803</x:v>
      </x:c>
      <x:c r="G558" s="36" t="n">
        <x:v>46257</x:v>
      </x:c>
      <x:c r="H558" s="38" t="n">
        <x:v>43.9999616</x:v>
      </x:c>
      <x:c r="I558"/>
      <x:c r="J558" s="36"/>
      <x:c r="K558" s="38"/>
      <x:c r="L558"/>
      <x:c r="M558" s="36"/>
      <x:c r="N558" s="38"/>
      <x:c r="O558" s="38" t="n">
        <x:v>43.9999616</x:v>
      </x:c>
      <x:c r="P558" s="38" t="n">
        <x:v>0</x:v>
      </x:c>
      <x:c r="Q558" t="str">
        <x:v>OK</x:v>
      </x:c>
    </x:row>
    <x:row r="559">
      <x:c r="A559" s="36" t="n">
        <x:v>46247</x:v>
      </x:c>
      <x:c r="B559" t="str">
        <x:v>Šakotis su sviestu</x:v>
      </x:c>
      <x:c r="C559" t="str">
        <x:v>L336</x:v>
      </x:c>
      <x:c r="D559" t="str">
        <x:v>Cukrus</x:v>
      </x:c>
      <x:c r="E559" s="38" t="n">
        <x:v>23.999996160000002</x:v>
      </x:c>
      <x:c r="F559" t="str">
        <x:v>Cuk0730</x:v>
      </x:c>
      <x:c r="G559" s="36" t="n">
        <x:v>46388</x:v>
      </x:c>
      <x:c r="H559" s="38" t="n">
        <x:v>23.999996160000002</x:v>
      </x:c>
      <x:c r="I559"/>
      <x:c r="J559" s="36"/>
      <x:c r="K559" s="38"/>
      <x:c r="L559"/>
      <x:c r="M559" s="36"/>
      <x:c r="N559" s="38"/>
      <x:c r="O559" s="38" t="n">
        <x:v>23.999996160000002</x:v>
      </x:c>
      <x:c r="P559" s="38" t="n">
        <x:v>0</x:v>
      </x:c>
      <x:c r="Q559" t="str">
        <x:v>OK</x:v>
      </x:c>
    </x:row>
    <x:row r="560">
      <x:c r="A560" s="36" t="n">
        <x:v>46247</x:v>
      </x:c>
      <x:c r="B560" t="str">
        <x:v>Šakotis su sviestu</x:v>
      </x:c>
      <x:c r="C560" t="str">
        <x:v>L336</x:v>
      </x:c>
      <x:c r="D560" t="str">
        <x:v>Sviestas</x:v>
      </x:c>
      <x:c r="E560" s="38" t="n">
        <x:v>23.999996160000002</x:v>
      </x:c>
      <x:c r="F560" t="str">
        <x:v>Sv0630</x:v>
      </x:c>
      <x:c r="G560" s="36" t="n">
        <x:v>46368</x:v>
      </x:c>
      <x:c r="H560" s="38" t="n">
        <x:v>23.999996160000002</x:v>
      </x:c>
      <x:c r="I560"/>
      <x:c r="J560" s="36"/>
      <x:c r="K560" s="38"/>
      <x:c r="L560"/>
      <x:c r="M560" s="36"/>
      <x:c r="N560" s="38"/>
      <x:c r="O560" s="38" t="n">
        <x:v>23.999996160000002</x:v>
      </x:c>
      <x:c r="P560" s="38" t="n">
        <x:v>0</x:v>
      </x:c>
      <x:c r="Q560" t="str">
        <x:v>OK</x:v>
      </x:c>
    </x:row>
    <x:row r="561">
      <x:c r="A561" s="36" t="n">
        <x:v>46247</x:v>
      </x:c>
      <x:c r="B561" t="str">
        <x:v>Šakotis su sviestu</x:v>
      </x:c>
      <x:c r="C561" t="str">
        <x:v>L336</x:v>
      </x:c>
      <x:c r="D561" t="str">
        <x:v>Kvapnioji medžiaga</x:v>
      </x:c>
      <x:c r="E561" s="38" t="n">
        <x:v>0.07999936</x:v>
      </x:c>
      <x:c r="F561" t="str">
        <x:v>Kvp0630</x:v>
      </x:c>
      <x:c r="G561" s="36" t="n">
        <x:v>46388</x:v>
      </x:c>
      <x:c r="H561" s="38" t="n">
        <x:v>0.07999936</x:v>
      </x:c>
      <x:c r="I561"/>
      <x:c r="J561" s="36"/>
      <x:c r="K561" s="38"/>
      <x:c r="L561"/>
      <x:c r="M561" s="36"/>
      <x:c r="N561" s="38"/>
      <x:c r="O561" s="38" t="n">
        <x:v>0.07999936</x:v>
      </x:c>
      <x:c r="P561" s="38" t="n">
        <x:v>0</x:v>
      </x:c>
      <x:c r="Q561" t="str">
        <x:v>OK</x:v>
      </x:c>
    </x:row>
    <x:row r="562">
      <x:c r="A562" s="36" t="n">
        <x:v>46247</x:v>
      </x:c>
      <x:c r="B562" t="str">
        <x:v>Šakotis su sviestu</x:v>
      </x:c>
      <x:c r="C562" t="str">
        <x:v>L336</x:v>
      </x:c>
      <x:c r="D562" t="str">
        <x:v>Ciberžolė</x:v>
      </x:c>
      <x:c r="E562" s="38" t="n">
        <x:v>0.27999776000000004</x:v>
      </x:c>
      <x:c r="F562" t="str">
        <x:v>Cib0805</x:v>
      </x:c>
      <x:c r="G562" s="36" t="n">
        <x:v>46895</x:v>
      </x:c>
      <x:c r="H562" s="38" t="n">
        <x:v>0.27999776000000004</x:v>
      </x:c>
      <x:c r="I562"/>
      <x:c r="J562" s="36"/>
      <x:c r="K562" s="38"/>
      <x:c r="L562"/>
      <x:c r="M562" s="36"/>
      <x:c r="N562" s="38"/>
      <x:c r="O562" s="38" t="n">
        <x:v>0.27999776000000004</x:v>
      </x:c>
      <x:c r="P562" s="38" t="n">
        <x:v>0</x:v>
      </x:c>
      <x:c r="Q562" t="str">
        <x:v>OK</x:v>
      </x:c>
    </x:row>
    <x:row r="563">
      <x:c r="A563" s="36" t="n">
        <x:v>46247</x:v>
      </x:c>
      <x:c r="B563" t="str">
        <x:v>Šakotis su sviestu</x:v>
      </x:c>
      <x:c r="C563" t="str">
        <x:v>L336</x:v>
      </x:c>
      <x:c r="D563" t="str">
        <x:v>Vanduo</x:v>
      </x:c>
      <x:c r="E563" s="38" t="n">
        <x:v>7.999936000000001</x:v>
      </x:c>
      <x:c r="F563" t="str">
        <x:v>Netaikoma</x:v>
      </x:c>
      <x:c r="G563" s="36"/>
      <x:c r="H563" s="38" t="n">
        <x:v>7.999936000000001</x:v>
      </x:c>
      <x:c r="I563"/>
      <x:c r="J563" s="36"/>
      <x:c r="K563" s="38"/>
      <x:c r="L563"/>
      <x:c r="M563" s="36"/>
      <x:c r="N563" s="38"/>
      <x:c r="O563" s="38" t="n">
        <x:v>7.999936000000001</x:v>
      </x:c>
      <x:c r="P563" s="38" t="n">
        <x:v>0</x:v>
      </x:c>
      <x:c r="Q563" t="str">
        <x:v>OK</x:v>
      </x:c>
    </x:row>
    <x:row r="564">
      <x:c r="A564" s="36" t="n">
        <x:v>46248</x:v>
      </x:c>
      <x:c r="B564" t="str">
        <x:v>Šakotis</x:v>
      </x:c>
      <x:c r="C564" t="str">
        <x:v>L336</x:v>
      </x:c>
      <x:c r="D564" t="str">
        <x:v>Miltai</x:v>
      </x:c>
      <x:c r="E564" s="38" t="n">
        <x:v>75.99998784</x:v>
      </x:c>
      <x:c r="F564" t="str">
        <x:v>Mil0805</x:v>
      </x:c>
      <x:c r="G564" s="36" t="n">
        <x:v>46577</x:v>
      </x:c>
      <x:c r="H564" s="38" t="n">
        <x:v>75.99998784</x:v>
      </x:c>
      <x:c r="I564"/>
      <x:c r="J564" s="36"/>
      <x:c r="K564" s="38"/>
      <x:c r="L564"/>
      <x:c r="M564" s="36"/>
      <x:c r="N564" s="38"/>
      <x:c r="O564" s="38" t="n">
        <x:v>75.99998784</x:v>
      </x:c>
      <x:c r="P564" s="38" t="n">
        <x:v>0</x:v>
      </x:c>
      <x:c r="Q564" t="str">
        <x:v>OK</x:v>
      </x:c>
    </x:row>
    <x:row r="565">
      <x:c r="A565" s="36" t="n">
        <x:v>46248</x:v>
      </x:c>
      <x:c r="B565" t="str">
        <x:v>Šakotis</x:v>
      </x:c>
      <x:c r="C565" t="str">
        <x:v>L336</x:v>
      </x:c>
      <x:c r="D565" t="str">
        <x:v>Pienas</x:v>
      </x:c>
      <x:c r="E565" s="38" t="n">
        <x:v>28.49999544</x:v>
      </x:c>
      <x:c r="F565" t="str">
        <x:v>P0812</x:v>
      </x:c>
      <x:c r="G565" s="36" t="n">
        <x:v>46252</x:v>
      </x:c>
      <x:c r="H565" s="38" t="n">
        <x:v>28.49999544</x:v>
      </x:c>
      <x:c r="I565"/>
      <x:c r="J565" s="36"/>
      <x:c r="K565" s="38"/>
      <x:c r="L565"/>
      <x:c r="M565" s="36"/>
      <x:c r="N565" s="38"/>
      <x:c r="O565" s="38" t="n">
        <x:v>28.49999544</x:v>
      </x:c>
      <x:c r="P565" s="38" t="n">
        <x:v>0</x:v>
      </x:c>
      <x:c r="Q565" t="str">
        <x:v>OK</x:v>
      </x:c>
    </x:row>
    <x:row r="566">
      <x:c r="A566" s="36" t="n">
        <x:v>46248</x:v>
      </x:c>
      <x:c r="B566" t="str">
        <x:v>Šakotis</x:v>
      </x:c>
      <x:c r="C566" t="str">
        <x:v>L336</x:v>
      </x:c>
      <x:c r="D566" t="str">
        <x:v>Kiaušiniai</x:v>
      </x:c>
      <x:c r="E566" s="38" t="n">
        <x:v>104.49990879999999</x:v>
      </x:c>
      <x:c r="F566" t="str">
        <x:v>K0803</x:v>
      </x:c>
      <x:c r="G566" s="36" t="n">
        <x:v>46257</x:v>
      </x:c>
      <x:c r="H566" s="38" t="n">
        <x:v>104.49990879999999</x:v>
      </x:c>
      <x:c r="I566"/>
      <x:c r="J566" s="36"/>
      <x:c r="K566" s="38"/>
      <x:c r="L566"/>
      <x:c r="M566" s="36"/>
      <x:c r="N566" s="38"/>
      <x:c r="O566" s="38" t="n">
        <x:v>104.49990879999999</x:v>
      </x:c>
      <x:c r="P566" s="38" t="n">
        <x:v>0</x:v>
      </x:c>
      <x:c r="Q566" t="str">
        <x:v>OK</x:v>
      </x:c>
    </x:row>
    <x:row r="567">
      <x:c r="A567" s="36" t="n">
        <x:v>46248</x:v>
      </x:c>
      <x:c r="B567" t="str">
        <x:v>Šakotis</x:v>
      </x:c>
      <x:c r="C567" t="str">
        <x:v>L336</x:v>
      </x:c>
      <x:c r="D567" t="str">
        <x:v>Cukrus</x:v>
      </x:c>
      <x:c r="E567" s="38" t="n">
        <x:v>56.99999088</x:v>
      </x:c>
      <x:c r="F567" t="str">
        <x:v>Cuk0730</x:v>
      </x:c>
      <x:c r="G567" s="36" t="n">
        <x:v>46388</x:v>
      </x:c>
      <x:c r="H567" s="38" t="n">
        <x:v>56.99999088</x:v>
      </x:c>
      <x:c r="I567"/>
      <x:c r="J567" s="36"/>
      <x:c r="K567" s="38"/>
      <x:c r="L567"/>
      <x:c r="M567" s="36"/>
      <x:c r="N567" s="38"/>
      <x:c r="O567" s="38" t="n">
        <x:v>56.99999088</x:v>
      </x:c>
      <x:c r="P567" s="38" t="n">
        <x:v>0</x:v>
      </x:c>
      <x:c r="Q567" t="str">
        <x:v>OK</x:v>
      </x:c>
    </x:row>
    <x:row r="568">
      <x:c r="A568" s="36" t="n">
        <x:v>46248</x:v>
      </x:c>
      <x:c r="B568" t="str">
        <x:v>Šakotis</x:v>
      </x:c>
      <x:c r="C568" t="str">
        <x:v>L336</x:v>
      </x:c>
      <x:c r="D568" t="str">
        <x:v>Margarinas Šakočiui "Alvas"</x:v>
      </x:c>
      <x:c r="E568" s="38" t="n">
        <x:v>56.99999088</x:v>
      </x:c>
      <x:c r="F568" t="str">
        <x:v>MarA0730</x:v>
      </x:c>
      <x:c r="G568" s="36" t="n">
        <x:v>46322</x:v>
      </x:c>
      <x:c r="H568" s="38" t="n">
        <x:v>56.99999088</x:v>
      </x:c>
      <x:c r="I568"/>
      <x:c r="J568" s="36"/>
      <x:c r="K568" s="38"/>
      <x:c r="L568"/>
      <x:c r="M568" s="36"/>
      <x:c r="N568" s="38"/>
      <x:c r="O568" s="38" t="n">
        <x:v>56.99999088</x:v>
      </x:c>
      <x:c r="P568" s="38" t="n">
        <x:v>0</x:v>
      </x:c>
      <x:c r="Q568" t="str">
        <x:v>OK</x:v>
      </x:c>
    </x:row>
    <x:row r="569">
      <x:c r="A569" s="36" t="n">
        <x:v>46248</x:v>
      </x:c>
      <x:c r="B569" t="str">
        <x:v>Šakotis</x:v>
      </x:c>
      <x:c r="C569" t="str">
        <x:v>L336</x:v>
      </x:c>
      <x:c r="D569" t="str">
        <x:v>Kvapnioji medžiaga</x:v>
      </x:c>
      <x:c r="E569" s="38" t="n">
        <x:v>0.18999848</x:v>
      </x:c>
      <x:c r="F569" t="str">
        <x:v>Kvp0630</x:v>
      </x:c>
      <x:c r="G569" s="36" t="n">
        <x:v>46388</x:v>
      </x:c>
      <x:c r="H569" s="38" t="n">
        <x:v>0.18999848</x:v>
      </x:c>
      <x:c r="I569"/>
      <x:c r="J569" s="36"/>
      <x:c r="K569" s="38"/>
      <x:c r="L569"/>
      <x:c r="M569" s="36"/>
      <x:c r="N569" s="38"/>
      <x:c r="O569" s="38" t="n">
        <x:v>0.18999848</x:v>
      </x:c>
      <x:c r="P569" s="38" t="n">
        <x:v>0</x:v>
      </x:c>
      <x:c r="Q569" t="str">
        <x:v>OK</x:v>
      </x:c>
    </x:row>
    <x:row r="570">
      <x:c r="A570" s="36" t="n">
        <x:v>46248</x:v>
      </x:c>
      <x:c r="B570" t="str">
        <x:v>Šakotis</x:v>
      </x:c>
      <x:c r="C570" t="str">
        <x:v>L336</x:v>
      </x:c>
      <x:c r="D570" t="str">
        <x:v>Ciberžolė</x:v>
      </x:c>
      <x:c r="E570" s="38" t="n">
        <x:v>0.66499468</x:v>
      </x:c>
      <x:c r="F570" t="str">
        <x:v>Cib0805</x:v>
      </x:c>
      <x:c r="G570" s="36" t="n">
        <x:v>46895</x:v>
      </x:c>
      <x:c r="H570" s="38" t="n">
        <x:v>0.66499468</x:v>
      </x:c>
      <x:c r="I570"/>
      <x:c r="J570" s="36"/>
      <x:c r="K570" s="38"/>
      <x:c r="L570"/>
      <x:c r="M570" s="36"/>
      <x:c r="N570" s="38"/>
      <x:c r="O570" s="38" t="n">
        <x:v>0.66499468</x:v>
      </x:c>
      <x:c r="P570" s="38" t="n">
        <x:v>0</x:v>
      </x:c>
      <x:c r="Q570" t="str">
        <x:v>OK</x:v>
      </x:c>
    </x:row>
    <x:row r="571">
      <x:c r="A571" s="36" t="n">
        <x:v>46248</x:v>
      </x:c>
      <x:c r="B571" t="str">
        <x:v>Šakotis</x:v>
      </x:c>
      <x:c r="C571" t="str">
        <x:v>L336</x:v>
      </x:c>
      <x:c r="D571" t="str">
        <x:v>Vanduo</x:v>
      </x:c>
      <x:c r="E571" s="38" t="n">
        <x:v>9.498248199999999</x:v>
      </x:c>
      <x:c r="F571" t="str">
        <x:v>Netaikoma</x:v>
      </x:c>
      <x:c r="G571" s="36"/>
      <x:c r="H571" s="38" t="n">
        <x:v>9.498248199999999</x:v>
      </x:c>
      <x:c r="I571"/>
      <x:c r="J571" s="36"/>
      <x:c r="K571" s="38"/>
      <x:c r="L571"/>
      <x:c r="M571" s="36"/>
      <x:c r="N571" s="38"/>
      <x:c r="O571" s="38" t="n">
        <x:v>9.498248199999999</x:v>
      </x:c>
      <x:c r="P571" s="38" t="n">
        <x:v>0</x:v>
      </x:c>
      <x:c r="Q571" t="str">
        <x:v>OK</x:v>
      </x:c>
    </x:row>
    <x:row r="572">
      <x:c r="A572" s="36" t="n">
        <x:v>46248</x:v>
      </x:c>
      <x:c r="B572" t="str">
        <x:v>Trapus šakotis</x:v>
      </x:c>
      <x:c r="C572" t="str">
        <x:v>L336</x:v>
      </x:c>
      <x:c r="D572" t="str">
        <x:v>Miltai</x:v>
      </x:c>
      <x:c r="E572" s="38" t="n">
        <x:v>79.9999872</x:v>
      </x:c>
      <x:c r="F572" t="str">
        <x:v>Mil0805</x:v>
      </x:c>
      <x:c r="G572" s="36" t="n">
        <x:v>46577</x:v>
      </x:c>
      <x:c r="H572" s="38" t="n">
        <x:v>36.009061503999305</x:v>
      </x:c>
      <x:c r="I572" t="str">
        <x:v>Mil0812</x:v>
      </x:c>
      <x:c r="J572" s="36" t="n">
        <x:v>46589</x:v>
      </x:c>
      <x:c r="K572" s="38" t="n">
        <x:v>43.9909256960007</x:v>
      </x:c>
      <x:c r="L572"/>
      <x:c r="M572" s="36"/>
      <x:c r="N572" s="38"/>
      <x:c r="O572" s="38" t="n">
        <x:v>79.9999872</x:v>
      </x:c>
      <x:c r="P572" s="38" t="n">
        <x:v>0</x:v>
      </x:c>
      <x:c r="Q572" t="str">
        <x:v>OK</x:v>
      </x:c>
    </x:row>
    <x:row r="573">
      <x:c r="A573" s="36" t="n">
        <x:v>46248</x:v>
      </x:c>
      <x:c r="B573" t="str">
        <x:v>Trapus šakotis</x:v>
      </x:c>
      <x:c r="C573" t="str">
        <x:v>L336</x:v>
      </x:c>
      <x:c r="D573" t="str">
        <x:v>Grietinės mišinys</x:v>
      </x:c>
      <x:c r="E573" s="38" t="n">
        <x:v>57.59999392</x:v>
      </x:c>
      <x:c r="F573" t="str">
        <x:v>Gr0812</x:v>
      </x:c>
      <x:c r="G573" s="36" t="n">
        <x:v>46255</x:v>
      </x:c>
      <x:c r="H573" s="38" t="n">
        <x:v>57.59999392</x:v>
      </x:c>
      <x:c r="I573"/>
      <x:c r="J573" s="36"/>
      <x:c r="K573" s="38"/>
      <x:c r="L573"/>
      <x:c r="M573" s="36"/>
      <x:c r="N573" s="38"/>
      <x:c r="O573" s="38" t="n">
        <x:v>57.59999392</x:v>
      </x:c>
      <x:c r="P573" s="38" t="n">
        <x:v>0</x:v>
      </x:c>
      <x:c r="Q573" t="str">
        <x:v>OK</x:v>
      </x:c>
    </x:row>
    <x:row r="574">
      <x:c r="A574" s="36" t="n">
        <x:v>46248</x:v>
      </x:c>
      <x:c r="B574" t="str">
        <x:v>Trapus šakotis</x:v>
      </x:c>
      <x:c r="C574" t="str">
        <x:v>L336</x:v>
      </x:c>
      <x:c r="D574" t="str">
        <x:v>Kiaušiniai</x:v>
      </x:c>
      <x:c r="E574" s="38" t="n">
        <x:v>79.9999872</x:v>
      </x:c>
      <x:c r="F574" t="str">
        <x:v>K0803</x:v>
      </x:c>
      <x:c r="G574" s="36" t="n">
        <x:v>46257</x:v>
      </x:c>
      <x:c r="H574" s="38" t="n">
        <x:v>79.9999872</x:v>
      </x:c>
      <x:c r="I574"/>
      <x:c r="J574" s="36"/>
      <x:c r="K574" s="38"/>
      <x:c r="L574"/>
      <x:c r="M574" s="36"/>
      <x:c r="N574" s="38"/>
      <x:c r="O574" s="38" t="n">
        <x:v>79.9999872</x:v>
      </x:c>
      <x:c r="P574" s="38" t="n">
        <x:v>0</x:v>
      </x:c>
      <x:c r="Q574" t="str">
        <x:v>OK</x:v>
      </x:c>
    </x:row>
    <x:row r="575">
      <x:c r="A575" s="36" t="n">
        <x:v>46248</x:v>
      </x:c>
      <x:c r="B575" t="str">
        <x:v>Trapus šakotis</x:v>
      </x:c>
      <x:c r="C575" t="str">
        <x:v>L336</x:v>
      </x:c>
      <x:c r="D575" t="str">
        <x:v>Cukrus</x:v>
      </x:c>
      <x:c r="E575" s="38" t="n">
        <x:v>47.999992320000004</x:v>
      </x:c>
      <x:c r="F575" t="str">
        <x:v>Cuk0730</x:v>
      </x:c>
      <x:c r="G575" s="36" t="n">
        <x:v>46388</x:v>
      </x:c>
      <x:c r="H575" s="38" t="n">
        <x:v>47.999992320000004</x:v>
      </x:c>
      <x:c r="I575"/>
      <x:c r="J575" s="36"/>
      <x:c r="K575" s="38"/>
      <x:c r="L575"/>
      <x:c r="M575" s="36"/>
      <x:c r="N575" s="38"/>
      <x:c r="O575" s="38" t="n">
        <x:v>47.999992320000004</x:v>
      </x:c>
      <x:c r="P575" s="38" t="n">
        <x:v>0</x:v>
      </x:c>
      <x:c r="Q575" t="str">
        <x:v>OK</x:v>
      </x:c>
    </x:row>
    <x:row r="576">
      <x:c r="A576" s="36" t="n">
        <x:v>46248</x:v>
      </x:c>
      <x:c r="B576" t="str">
        <x:v>Trapus šakotis</x:v>
      </x:c>
      <x:c r="C576" t="str">
        <x:v>L336</x:v>
      </x:c>
      <x:c r="D576" t="str">
        <x:v>Margarinas trapiam "IEVA"</x:v>
      </x:c>
      <x:c r="E576" s="38" t="n">
        <x:v>56.639923200000005</x:v>
      </x:c>
      <x:c r="F576" t="str">
        <x:v>MarI0730</x:v>
      </x:c>
      <x:c r="G576" s="36" t="n">
        <x:v>46401</x:v>
      </x:c>
      <x:c r="H576" s="38" t="n">
        <x:v>56.639923200000005</x:v>
      </x:c>
      <x:c r="I576"/>
      <x:c r="J576" s="36"/>
      <x:c r="K576" s="38"/>
      <x:c r="L576"/>
      <x:c r="M576" s="36"/>
      <x:c r="N576" s="38"/>
      <x:c r="O576" s="38" t="n">
        <x:v>56.639923200000005</x:v>
      </x:c>
      <x:c r="P576" s="38" t="n">
        <x:v>0</x:v>
      </x:c>
      <x:c r="Q576" t="str">
        <x:v>OK</x:v>
      </x:c>
    </x:row>
    <x:row r="577">
      <x:c r="A577" s="36" t="n">
        <x:v>46248</x:v>
      </x:c>
      <x:c r="B577" t="str">
        <x:v>Trapus šakotis</x:v>
      </x:c>
      <x:c r="C577" t="str">
        <x:v>L336</x:v>
      </x:c>
      <x:c r="D577"/>
      <x:c r="E577" s="38"/>
      <x:c r="F577"/>
      <x:c r="G577" s="36"/>
      <x:c r="H577" s="38"/>
      <x:c r="I577"/>
      <x:c r="J577" s="36"/>
      <x:c r="K577" s="38"/>
      <x:c r="L577"/>
      <x:c r="M577" s="36"/>
      <x:c r="N577" s="38"/>
      <x:c r="O577" s="38"/>
      <x:c r="P577" s="38"/>
      <x:c r="Q577"/>
    </x:row>
    <x:row r="578">
      <x:c r="A578" s="36" t="n">
        <x:v>46248</x:v>
      </x:c>
      <x:c r="B578" t="str">
        <x:v>Trapus šakotis</x:v>
      </x:c>
      <x:c r="C578" t="str">
        <x:v>L336</x:v>
      </x:c>
      <x:c r="D578"/>
      <x:c r="E578" s="38"/>
      <x:c r="F578"/>
      <x:c r="G578" s="36"/>
      <x:c r="H578" s="38"/>
      <x:c r="I578"/>
      <x:c r="J578" s="36"/>
      <x:c r="K578" s="38"/>
      <x:c r="L578"/>
      <x:c r="M578" s="36"/>
      <x:c r="N578" s="38"/>
      <x:c r="O578" s="38"/>
      <x:c r="P578" s="38"/>
      <x:c r="Q578"/>
    </x:row>
    <x:row r="579">
      <x:c r="A579" s="36" t="n">
        <x:v>46248</x:v>
      </x:c>
      <x:c r="B579" t="str">
        <x:v>Trapus šakotis</x:v>
      </x:c>
      <x:c r="C579" t="str">
        <x:v>L336</x:v>
      </x:c>
      <x:c r="D579"/>
      <x:c r="E579" s="38"/>
      <x:c r="F579"/>
      <x:c r="G579" s="36"/>
      <x:c r="H579" s="38"/>
      <x:c r="I579"/>
      <x:c r="J579" s="36"/>
      <x:c r="K579" s="38"/>
      <x:c r="L579"/>
      <x:c r="M579" s="36"/>
      <x:c r="N579" s="38"/>
      <x:c r="O579" s="38"/>
      <x:c r="P579" s="38"/>
      <x:c r="Q579"/>
    </x:row>
    <x:row r="580">
      <x:c r="A580" s="36" t="n">
        <x:v>46250</x:v>
      </x:c>
      <x:c r="B580" t="str">
        <x:v>Šakotis</x:v>
      </x:c>
      <x:c r="C580" t="str">
        <x:v>L336</x:v>
      </x:c>
      <x:c r="D580" t="str">
        <x:v>Miltai</x:v>
      </x:c>
      <x:c r="E580" s="38" t="n">
        <x:v>70.799988672</x:v>
      </x:c>
      <x:c r="F580" t="str">
        <x:v>Mil0812</x:v>
      </x:c>
      <x:c r="G580" s="36" t="n">
        <x:v>46589</x:v>
      </x:c>
      <x:c r="H580" s="38" t="n">
        <x:v>70.799988672</x:v>
      </x:c>
      <x:c r="I580"/>
      <x:c r="J580" s="36"/>
      <x:c r="K580" s="38"/>
      <x:c r="L580"/>
      <x:c r="M580" s="36"/>
      <x:c r="N580" s="38"/>
      <x:c r="O580" s="38" t="n">
        <x:v>70.799988672</x:v>
      </x:c>
      <x:c r="P580" s="38" t="n">
        <x:v>0</x:v>
      </x:c>
      <x:c r="Q580" t="str">
        <x:v>OK</x:v>
      </x:c>
    </x:row>
    <x:row r="581">
      <x:c r="A581" s="36" t="n">
        <x:v>46250</x:v>
      </x:c>
      <x:c r="B581" t="str">
        <x:v>Šakotis</x:v>
      </x:c>
      <x:c r="C581" t="str">
        <x:v>L336</x:v>
      </x:c>
      <x:c r="D581" t="str">
        <x:v>Pienas</x:v>
      </x:c>
      <x:c r="E581" s="38" t="n">
        <x:v>26.549995752</x:v>
      </x:c>
      <x:c r="F581" t="str">
        <x:v>P0812</x:v>
      </x:c>
      <x:c r="G581" s="36" t="n">
        <x:v>46252</x:v>
      </x:c>
      <x:c r="H581" s="38" t="n">
        <x:v>26.549995752</x:v>
      </x:c>
      <x:c r="I581"/>
      <x:c r="J581" s="36"/>
      <x:c r="K581" s="38"/>
      <x:c r="L581"/>
      <x:c r="M581" s="36"/>
      <x:c r="N581" s="38"/>
      <x:c r="O581" s="38" t="n">
        <x:v>26.549995752</x:v>
      </x:c>
      <x:c r="P581" s="38" t="n">
        <x:v>0</x:v>
      </x:c>
      <x:c r="Q581" t="str">
        <x:v>OK</x:v>
      </x:c>
    </x:row>
    <x:row r="582">
      <x:c r="A582" s="36" t="n">
        <x:v>46250</x:v>
      </x:c>
      <x:c r="B582" t="str">
        <x:v>Šakotis</x:v>
      </x:c>
      <x:c r="C582" t="str">
        <x:v>L336</x:v>
      </x:c>
      <x:c r="D582" t="str">
        <x:v>Kiaušiniai</x:v>
      </x:c>
      <x:c r="E582" s="38" t="n">
        <x:v>97.34991504</x:v>
      </x:c>
      <x:c r="F582" t="str">
        <x:v>K0803</x:v>
      </x:c>
      <x:c r="G582" s="36" t="n">
        <x:v>46257</x:v>
      </x:c>
      <x:c r="H582" s="38" t="n">
        <x:v>97.34991504</x:v>
      </x:c>
      <x:c r="I582"/>
      <x:c r="J582" s="36"/>
      <x:c r="K582" s="38"/>
      <x:c r="L582"/>
      <x:c r="M582" s="36"/>
      <x:c r="N582" s="38"/>
      <x:c r="O582" s="38" t="n">
        <x:v>97.34991504</x:v>
      </x:c>
      <x:c r="P582" s="38" t="n">
        <x:v>0</x:v>
      </x:c>
      <x:c r="Q582" t="str">
        <x:v>OK</x:v>
      </x:c>
    </x:row>
    <x:row r="583">
      <x:c r="A583" s="36" t="n">
        <x:v>46250</x:v>
      </x:c>
      <x:c r="B583" t="str">
        <x:v>Šakotis</x:v>
      </x:c>
      <x:c r="C583" t="str">
        <x:v>L336</x:v>
      </x:c>
      <x:c r="D583" t="str">
        <x:v>Cukrus</x:v>
      </x:c>
      <x:c r="E583" s="38" t="n">
        <x:v>53.099991504</x:v>
      </x:c>
      <x:c r="F583" t="str">
        <x:v>Cuk0730</x:v>
      </x:c>
      <x:c r="G583" s="36" t="n">
        <x:v>46388</x:v>
      </x:c>
      <x:c r="H583" s="38" t="n">
        <x:v>53.099991504</x:v>
      </x:c>
      <x:c r="I583"/>
      <x:c r="J583" s="36"/>
      <x:c r="K583" s="38"/>
      <x:c r="L583"/>
      <x:c r="M583" s="36"/>
      <x:c r="N583" s="38"/>
      <x:c r="O583" s="38" t="n">
        <x:v>53.099991504</x:v>
      </x:c>
      <x:c r="P583" s="38" t="n">
        <x:v>0</x:v>
      </x:c>
      <x:c r="Q583" t="str">
        <x:v>OK</x:v>
      </x:c>
    </x:row>
    <x:row r="584">
      <x:c r="A584" s="36" t="n">
        <x:v>46250</x:v>
      </x:c>
      <x:c r="B584" t="str">
        <x:v>Šakotis</x:v>
      </x:c>
      <x:c r="C584" t="str">
        <x:v>L336</x:v>
      </x:c>
      <x:c r="D584" t="str">
        <x:v>Margarinas Šakočiui "Alvas"</x:v>
      </x:c>
      <x:c r="E584" s="38" t="n">
        <x:v>53.099991504</x:v>
      </x:c>
      <x:c r="F584" t="str">
        <x:v>MarA0730</x:v>
      </x:c>
      <x:c r="G584" s="36" t="n">
        <x:v>46322</x:v>
      </x:c>
      <x:c r="H584" s="38" t="n">
        <x:v>53.099991504</x:v>
      </x:c>
      <x:c r="I584"/>
      <x:c r="J584" s="36"/>
      <x:c r="K584" s="38"/>
      <x:c r="L584"/>
      <x:c r="M584" s="36"/>
      <x:c r="N584" s="38"/>
      <x:c r="O584" s="38" t="n">
        <x:v>53.099991504</x:v>
      </x:c>
      <x:c r="P584" s="38" t="n">
        <x:v>0</x:v>
      </x:c>
      <x:c r="Q584" t="str">
        <x:v>OK</x:v>
      </x:c>
    </x:row>
    <x:row r="585">
      <x:c r="A585" s="36" t="n">
        <x:v>46250</x:v>
      </x:c>
      <x:c r="B585" t="str">
        <x:v>Šakotis</x:v>
      </x:c>
      <x:c r="C585" t="str">
        <x:v>L336</x:v>
      </x:c>
      <x:c r="D585" t="str">
        <x:v>Kvapnioji medžiaga</x:v>
      </x:c>
      <x:c r="E585" s="38" t="n">
        <x:v>0.17699858400000001</x:v>
      </x:c>
      <x:c r="F585" t="str">
        <x:v>Kvp0630</x:v>
      </x:c>
      <x:c r="G585" s="36" t="n">
        <x:v>46388</x:v>
      </x:c>
      <x:c r="H585" s="38" t="n">
        <x:v>0.17699858400000001</x:v>
      </x:c>
      <x:c r="I585"/>
      <x:c r="J585" s="36"/>
      <x:c r="K585" s="38"/>
      <x:c r="L585"/>
      <x:c r="M585" s="36"/>
      <x:c r="N585" s="38"/>
      <x:c r="O585" s="38" t="n">
        <x:v>0.17699858400000001</x:v>
      </x:c>
      <x:c r="P585" s="38" t="n">
        <x:v>0</x:v>
      </x:c>
      <x:c r="Q585" t="str">
        <x:v>OK</x:v>
      </x:c>
    </x:row>
    <x:row r="586">
      <x:c r="A586" s="36" t="n">
        <x:v>46250</x:v>
      </x:c>
      <x:c r="B586" t="str">
        <x:v>Šakotis</x:v>
      </x:c>
      <x:c r="C586" t="str">
        <x:v>L336</x:v>
      </x:c>
      <x:c r="D586" t="str">
        <x:v>Ciberžolė</x:v>
      </x:c>
      <x:c r="E586" s="38" t="n">
        <x:v>0.6194950440000001</x:v>
      </x:c>
      <x:c r="F586" t="str">
        <x:v>Cib0805</x:v>
      </x:c>
      <x:c r="G586" s="36" t="n">
        <x:v>46895</x:v>
      </x:c>
      <x:c r="H586" s="38" t="n">
        <x:v>0.6194950440000001</x:v>
      </x:c>
      <x:c r="I586"/>
      <x:c r="J586" s="36"/>
      <x:c r="K586" s="38"/>
      <x:c r="L586"/>
      <x:c r="M586" s="36"/>
      <x:c r="N586" s="38"/>
      <x:c r="O586" s="38" t="n">
        <x:v>0.6194950440000001</x:v>
      </x:c>
      <x:c r="P586" s="38" t="n">
        <x:v>0</x:v>
      </x:c>
      <x:c r="Q586" t="str">
        <x:v>OK</x:v>
      </x:c>
    </x:row>
    <x:row r="587">
      <x:c r="A587" s="36" t="n">
        <x:v>46250</x:v>
      </x:c>
      <x:c r="B587" t="str">
        <x:v>Šakotis</x:v>
      </x:c>
      <x:c r="C587" t="str">
        <x:v>L336</x:v>
      </x:c>
      <x:c r="D587" t="str">
        <x:v>Vanduo</x:v>
      </x:c>
      <x:c r="E587" s="38" t="n">
        <x:v>8.84836806</x:v>
      </x:c>
      <x:c r="F587" t="str">
        <x:v>Netaikoma</x:v>
      </x:c>
      <x:c r="G587" s="36"/>
      <x:c r="H587" s="38" t="n">
        <x:v>8.84836806</x:v>
      </x:c>
      <x:c r="I587"/>
      <x:c r="J587" s="36"/>
      <x:c r="K587" s="38"/>
      <x:c r="L587"/>
      <x:c r="M587" s="36"/>
      <x:c r="N587" s="38"/>
      <x:c r="O587" s="38" t="n">
        <x:v>8.84836806</x:v>
      </x:c>
      <x:c r="P587" s="38" t="n">
        <x:v>0</x:v>
      </x:c>
      <x:c r="Q587" t="str">
        <x:v>OK</x:v>
      </x:c>
    </x:row>
    <x:row r="588">
      <x:c r="A588" s="36" t="n">
        <x:v>46251</x:v>
      </x:c>
      <x:c r="B588" t="str">
        <x:v>Šakotis</x:v>
      </x:c>
      <x:c r="C588" t="str">
        <x:v>L346</x:v>
      </x:c>
      <x:c r="D588" t="str">
        <x:v>Miltai</x:v>
      </x:c>
      <x:c r="E588" s="38" t="n">
        <x:v>78.399987456</x:v>
      </x:c>
      <x:c r="F588" t="str">
        <x:v>Mil0812</x:v>
      </x:c>
      <x:c r="G588" s="36" t="n">
        <x:v>46589</x:v>
      </x:c>
      <x:c r="H588" s="38" t="n">
        <x:v>78.399987456</x:v>
      </x:c>
      <x:c r="I588"/>
      <x:c r="J588" s="36"/>
      <x:c r="K588" s="38"/>
      <x:c r="L588"/>
      <x:c r="M588" s="36"/>
      <x:c r="N588" s="38"/>
      <x:c r="O588" s="38" t="n">
        <x:v>78.399987456</x:v>
      </x:c>
      <x:c r="P588" s="38" t="n">
        <x:v>0</x:v>
      </x:c>
      <x:c r="Q588" t="str">
        <x:v>OK</x:v>
      </x:c>
    </x:row>
    <x:row r="589">
      <x:c r="A589" s="36" t="n">
        <x:v>46251</x:v>
      </x:c>
      <x:c r="B589" t="str">
        <x:v>Šakotis</x:v>
      </x:c>
      <x:c r="C589" t="str">
        <x:v>L346</x:v>
      </x:c>
      <x:c r="D589" t="str">
        <x:v>Pienas</x:v>
      </x:c>
      <x:c r="E589" s="38" t="n">
        <x:v>29.399995296000004</x:v>
      </x:c>
      <x:c r="F589" t="str">
        <x:v>P0812</x:v>
      </x:c>
      <x:c r="G589" s="36" t="n">
        <x:v>46252</x:v>
      </x:c>
      <x:c r="H589" s="38" t="n">
        <x:v>29.399995296000004</x:v>
      </x:c>
      <x:c r="I589"/>
      <x:c r="J589" s="36"/>
      <x:c r="K589" s="38"/>
      <x:c r="L589"/>
      <x:c r="M589" s="36"/>
      <x:c r="N589" s="38"/>
      <x:c r="O589" s="38" t="n">
        <x:v>29.399995296000004</x:v>
      </x:c>
      <x:c r="P589" s="38" t="n">
        <x:v>0</x:v>
      </x:c>
      <x:c r="Q589" t="str">
        <x:v>OK</x:v>
      </x:c>
    </x:row>
    <x:row r="590">
      <x:c r="A590" s="36" t="n">
        <x:v>46251</x:v>
      </x:c>
      <x:c r="B590" t="str">
        <x:v>Šakotis</x:v>
      </x:c>
      <x:c r="C590" t="str">
        <x:v>L346</x:v>
      </x:c>
      <x:c r="D590" t="str">
        <x:v>Kiaušiniai</x:v>
      </x:c>
      <x:c r="E590" s="38" t="n">
        <x:v>107.79990592</x:v>
      </x:c>
      <x:c r="F590" t="str">
        <x:v>K0803</x:v>
      </x:c>
      <x:c r="G590" s="36" t="n">
        <x:v>46257</x:v>
      </x:c>
      <x:c r="H590" s="38" t="n">
        <x:v>107.79990592</x:v>
      </x:c>
      <x:c r="I590"/>
      <x:c r="J590" s="36"/>
      <x:c r="K590" s="38"/>
      <x:c r="L590"/>
      <x:c r="M590" s="36"/>
      <x:c r="N590" s="38"/>
      <x:c r="O590" s="38" t="n">
        <x:v>107.79990592</x:v>
      </x:c>
      <x:c r="P590" s="38" t="n">
        <x:v>0</x:v>
      </x:c>
      <x:c r="Q590" t="str">
        <x:v>OK</x:v>
      </x:c>
    </x:row>
    <x:row r="591">
      <x:c r="A591" s="36" t="n">
        <x:v>46251</x:v>
      </x:c>
      <x:c r="B591" t="str">
        <x:v>Šakotis</x:v>
      </x:c>
      <x:c r="C591" t="str">
        <x:v>L346</x:v>
      </x:c>
      <x:c r="D591" t="str">
        <x:v>Cukrus</x:v>
      </x:c>
      <x:c r="E591" s="38" t="n">
        <x:v>58.79999059200001</x:v>
      </x:c>
      <x:c r="F591" t="str">
        <x:v>Cuk0730</x:v>
      </x:c>
      <x:c r="G591" s="36" t="n">
        <x:v>46388</x:v>
      </x:c>
      <x:c r="H591" s="38" t="n">
        <x:v>58.79999059200001</x:v>
      </x:c>
      <x:c r="I591"/>
      <x:c r="J591" s="36"/>
      <x:c r="K591" s="38"/>
      <x:c r="L591"/>
      <x:c r="M591" s="36"/>
      <x:c r="N591" s="38"/>
      <x:c r="O591" s="38" t="n">
        <x:v>58.79999059200001</x:v>
      </x:c>
      <x:c r="P591" s="38" t="n">
        <x:v>0</x:v>
      </x:c>
      <x:c r="Q591" t="str">
        <x:v>OK</x:v>
      </x:c>
    </x:row>
    <x:row r="592">
      <x:c r="A592" s="36" t="n">
        <x:v>46251</x:v>
      </x:c>
      <x:c r="B592" t="str">
        <x:v>Šakotis</x:v>
      </x:c>
      <x:c r="C592" t="str">
        <x:v>L346</x:v>
      </x:c>
      <x:c r="D592" t="str">
        <x:v>Margarinas Šakočiui "Alvas"</x:v>
      </x:c>
      <x:c r="E592" s="38" t="n">
        <x:v>58.79999059200001</x:v>
      </x:c>
      <x:c r="F592" t="str">
        <x:v>MarA0730</x:v>
      </x:c>
      <x:c r="G592" s="36" t="n">
        <x:v>46322</x:v>
      </x:c>
      <x:c r="H592" s="38" t="n">
        <x:v>58.79999059200001</x:v>
      </x:c>
      <x:c r="I592"/>
      <x:c r="J592" s="36"/>
      <x:c r="K592" s="38"/>
      <x:c r="L592"/>
      <x:c r="M592" s="36"/>
      <x:c r="N592" s="38"/>
      <x:c r="O592" s="38" t="n">
        <x:v>58.79999059200001</x:v>
      </x:c>
      <x:c r="P592" s="38" t="n">
        <x:v>0</x:v>
      </x:c>
      <x:c r="Q592" t="str">
        <x:v>OK</x:v>
      </x:c>
    </x:row>
    <x:row r="593">
      <x:c r="A593" s="36" t="n">
        <x:v>46251</x:v>
      </x:c>
      <x:c r="B593" t="str">
        <x:v>Šakotis</x:v>
      </x:c>
      <x:c r="C593" t="str">
        <x:v>L346</x:v>
      </x:c>
      <x:c r="D593" t="str">
        <x:v>Kvapnioji medžiaga</x:v>
      </x:c>
      <x:c r="E593" s="38" t="n">
        <x:v>0.19599843200000003</x:v>
      </x:c>
      <x:c r="F593" t="str">
        <x:v>Kvp0630</x:v>
      </x:c>
      <x:c r="G593" s="36" t="n">
        <x:v>46388</x:v>
      </x:c>
      <x:c r="H593" s="38" t="n">
        <x:v>0.19599843200000003</x:v>
      </x:c>
      <x:c r="I593"/>
      <x:c r="J593" s="36"/>
      <x:c r="K593" s="38"/>
      <x:c r="L593"/>
      <x:c r="M593" s="36"/>
      <x:c r="N593" s="38"/>
      <x:c r="O593" s="38" t="n">
        <x:v>0.19599843200000003</x:v>
      </x:c>
      <x:c r="P593" s="38" t="n">
        <x:v>0</x:v>
      </x:c>
      <x:c r="Q593" t="str">
        <x:v>OK</x:v>
      </x:c>
    </x:row>
    <x:row r="594">
      <x:c r="A594" s="36" t="n">
        <x:v>46251</x:v>
      </x:c>
      <x:c r="B594" t="str">
        <x:v>Šakotis</x:v>
      </x:c>
      <x:c r="C594" t="str">
        <x:v>L346</x:v>
      </x:c>
      <x:c r="D594" t="str">
        <x:v>Ciberžolė</x:v>
      </x:c>
      <x:c r="E594" s="38" t="n">
        <x:v>0.6859945120000001</x:v>
      </x:c>
      <x:c r="F594" t="str">
        <x:v>Cib0805</x:v>
      </x:c>
      <x:c r="G594" s="36" t="n">
        <x:v>46895</x:v>
      </x:c>
      <x:c r="H594" s="38" t="n">
        <x:v>0.6859945120000001</x:v>
      </x:c>
      <x:c r="I594"/>
      <x:c r="J594" s="36"/>
      <x:c r="K594" s="38"/>
      <x:c r="L594"/>
      <x:c r="M594" s="36"/>
      <x:c r="N594" s="38"/>
      <x:c r="O594" s="38" t="n">
        <x:v>0.6859945120000001</x:v>
      </x:c>
      <x:c r="P594" s="38" t="n">
        <x:v>0</x:v>
      </x:c>
      <x:c r="Q594" t="str">
        <x:v>OK</x:v>
      </x:c>
    </x:row>
    <x:row r="595">
      <x:c r="A595" s="36" t="n">
        <x:v>46251</x:v>
      </x:c>
      <x:c r="B595" t="str">
        <x:v>Šakotis</x:v>
      </x:c>
      <x:c r="C595" t="str">
        <x:v>L346</x:v>
      </x:c>
      <x:c r="D595" t="str">
        <x:v>Vanduo</x:v>
      </x:c>
      <x:c r="E595" s="38" t="n">
        <x:v>9.79819288</x:v>
      </x:c>
      <x:c r="F595" t="str">
        <x:v>Netaikoma</x:v>
      </x:c>
      <x:c r="G595" s="36"/>
      <x:c r="H595" s="38" t="n">
        <x:v>9.79819288</x:v>
      </x:c>
      <x:c r="I595"/>
      <x:c r="J595" s="36"/>
      <x:c r="K595" s="38"/>
      <x:c r="L595"/>
      <x:c r="M595" s="36"/>
      <x:c r="N595" s="38"/>
      <x:c r="O595" s="38" t="n">
        <x:v>9.79819288</x:v>
      </x:c>
      <x:c r="P595" s="38" t="n">
        <x:v>0</x:v>
      </x:c>
      <x:c r="Q595" t="str">
        <x:v>OK</x:v>
      </x:c>
    </x:row>
    <x:row r="596">
      <x:c r="A596" s="36" t="n">
        <x:v>46251</x:v>
      </x:c>
      <x:c r="B596" t="str">
        <x:v>Trapus šakotis</x:v>
      </x:c>
      <x:c r="C596" t="str">
        <x:v>L346</x:v>
      </x:c>
      <x:c r="D596" t="str">
        <x:v>Miltai</x:v>
      </x:c>
      <x:c r="E596" s="38" t="n">
        <x:v>39.9999936</x:v>
      </x:c>
      <x:c r="F596" t="str">
        <x:v>Mil0812</x:v>
      </x:c>
      <x:c r="G596" s="36" t="n">
        <x:v>46589</x:v>
      </x:c>
      <x:c r="H596" s="38" t="n">
        <x:v>39.9999936</x:v>
      </x:c>
      <x:c r="I596"/>
      <x:c r="J596" s="36"/>
      <x:c r="K596" s="38"/>
      <x:c r="L596"/>
      <x:c r="M596" s="36"/>
      <x:c r="N596" s="38"/>
      <x:c r="O596" s="38" t="n">
        <x:v>39.9999936</x:v>
      </x:c>
      <x:c r="P596" s="38" t="n">
        <x:v>0</x:v>
      </x:c>
      <x:c r="Q596" t="str">
        <x:v>OK</x:v>
      </x:c>
    </x:row>
    <x:row r="597">
      <x:c r="A597" s="36" t="n">
        <x:v>46251</x:v>
      </x:c>
      <x:c r="B597" t="str">
        <x:v>Trapus šakotis</x:v>
      </x:c>
      <x:c r="C597" t="str">
        <x:v>L346</x:v>
      </x:c>
      <x:c r="D597" t="str">
        <x:v>Grietinės mišinys</x:v>
      </x:c>
      <x:c r="E597" s="38" t="n">
        <x:v>28.79999696</x:v>
      </x:c>
      <x:c r="F597" t="str">
        <x:v>Gr0812</x:v>
      </x:c>
      <x:c r="G597" s="36" t="n">
        <x:v>46255</x:v>
      </x:c>
      <x:c r="H597" s="38" t="n">
        <x:v>28.79999696</x:v>
      </x:c>
      <x:c r="I597"/>
      <x:c r="J597" s="36"/>
      <x:c r="K597" s="38"/>
      <x:c r="L597"/>
      <x:c r="M597" s="36"/>
      <x:c r="N597" s="38"/>
      <x:c r="O597" s="38" t="n">
        <x:v>28.79999696</x:v>
      </x:c>
      <x:c r="P597" s="38" t="n">
        <x:v>0</x:v>
      </x:c>
      <x:c r="Q597" t="str">
        <x:v>OK</x:v>
      </x:c>
    </x:row>
    <x:row r="598">
      <x:c r="A598" s="36" t="n">
        <x:v>46251</x:v>
      </x:c>
      <x:c r="B598" t="str">
        <x:v>Trapus šakotis</x:v>
      </x:c>
      <x:c r="C598" t="str">
        <x:v>L346</x:v>
      </x:c>
      <x:c r="D598" t="str">
        <x:v>Kiaušiniai</x:v>
      </x:c>
      <x:c r="E598" s="38" t="n">
        <x:v>39.9999936</x:v>
      </x:c>
      <x:c r="F598" t="str">
        <x:v>K0803</x:v>
      </x:c>
      <x:c r="G598" s="36" t="n">
        <x:v>46257</x:v>
      </x:c>
      <x:c r="H598" s="38" t="n">
        <x:v>39.9999936</x:v>
      </x:c>
      <x:c r="I598"/>
      <x:c r="J598" s="36"/>
      <x:c r="K598" s="38"/>
      <x:c r="L598"/>
      <x:c r="M598" s="36"/>
      <x:c r="N598" s="38"/>
      <x:c r="O598" s="38" t="n">
        <x:v>39.9999936</x:v>
      </x:c>
      <x:c r="P598" s="38" t="n">
        <x:v>0</x:v>
      </x:c>
      <x:c r="Q598" t="str">
        <x:v>OK</x:v>
      </x:c>
    </x:row>
    <x:row r="599">
      <x:c r="A599" s="36" t="n">
        <x:v>46251</x:v>
      </x:c>
      <x:c r="B599" t="str">
        <x:v>Trapus šakotis</x:v>
      </x:c>
      <x:c r="C599" t="str">
        <x:v>L346</x:v>
      </x:c>
      <x:c r="D599" t="str">
        <x:v>Cukrus</x:v>
      </x:c>
      <x:c r="E599" s="38" t="n">
        <x:v>23.999996160000002</x:v>
      </x:c>
      <x:c r="F599" t="str">
        <x:v>Cuk0730</x:v>
      </x:c>
      <x:c r="G599" s="36" t="n">
        <x:v>46388</x:v>
      </x:c>
      <x:c r="H599" s="38" t="n">
        <x:v>23.999996160000002</x:v>
      </x:c>
      <x:c r="I599"/>
      <x:c r="J599" s="36"/>
      <x:c r="K599" s="38"/>
      <x:c r="L599"/>
      <x:c r="M599" s="36"/>
      <x:c r="N599" s="38"/>
      <x:c r="O599" s="38" t="n">
        <x:v>23.999996160000002</x:v>
      </x:c>
      <x:c r="P599" s="38" t="n">
        <x:v>0</x:v>
      </x:c>
      <x:c r="Q599" t="str">
        <x:v>OK</x:v>
      </x:c>
    </x:row>
    <x:row r="600">
      <x:c r="A600" s="36" t="n">
        <x:v>46251</x:v>
      </x:c>
      <x:c r="B600" t="str">
        <x:v>Trapus šakotis</x:v>
      </x:c>
      <x:c r="C600" t="str">
        <x:v>L346</x:v>
      </x:c>
      <x:c r="D600" t="str">
        <x:v>Margarinas trapiam "IEVA"</x:v>
      </x:c>
      <x:c r="E600" s="38" t="n">
        <x:v>28.319961600000003</x:v>
      </x:c>
      <x:c r="F600" t="str">
        <x:v>MarI0730</x:v>
      </x:c>
      <x:c r="G600" s="36" t="n">
        <x:v>46401</x:v>
      </x:c>
      <x:c r="H600" s="38" t="n">
        <x:v>28.319961600000003</x:v>
      </x:c>
      <x:c r="I600"/>
      <x:c r="J600" s="36"/>
      <x:c r="K600" s="38"/>
      <x:c r="L600"/>
      <x:c r="M600" s="36"/>
      <x:c r="N600" s="38"/>
      <x:c r="O600" s="38" t="n">
        <x:v>28.319961600000003</x:v>
      </x:c>
      <x:c r="P600" s="38" t="n">
        <x:v>0</x:v>
      </x:c>
      <x:c r="Q600" t="str">
        <x:v>OK</x:v>
      </x:c>
    </x:row>
    <x:row r="601">
      <x:c r="A601" s="36" t="n">
        <x:v>46251</x:v>
      </x:c>
      <x:c r="B601" t="str">
        <x:v>Trapus šakotis</x:v>
      </x:c>
      <x:c r="C601" t="str">
        <x:v>L346</x:v>
      </x:c>
      <x:c r="D601"/>
      <x:c r="E601" s="38"/>
      <x:c r="F601"/>
      <x:c r="G601" s="36"/>
      <x:c r="H601" s="38"/>
      <x:c r="I601"/>
      <x:c r="J601" s="36"/>
      <x:c r="K601" s="38"/>
      <x:c r="L601"/>
      <x:c r="M601" s="36"/>
      <x:c r="N601" s="38"/>
      <x:c r="O601" s="38"/>
      <x:c r="P601" s="38"/>
      <x:c r="Q601"/>
    </x:row>
    <x:row r="602">
      <x:c r="A602" s="36" t="n">
        <x:v>46251</x:v>
      </x:c>
      <x:c r="B602" t="str">
        <x:v>Trapus šakotis</x:v>
      </x:c>
      <x:c r="C602" t="str">
        <x:v>L346</x:v>
      </x:c>
      <x:c r="D602"/>
      <x:c r="E602" s="38"/>
      <x:c r="F602"/>
      <x:c r="G602" s="36"/>
      <x:c r="H602" s="38"/>
      <x:c r="I602"/>
      <x:c r="J602" s="36"/>
      <x:c r="K602" s="38"/>
      <x:c r="L602"/>
      <x:c r="M602" s="36"/>
      <x:c r="N602" s="38"/>
      <x:c r="O602" s="38"/>
      <x:c r="P602" s="38"/>
      <x:c r="Q602"/>
    </x:row>
    <x:row r="603">
      <x:c r="A603" s="36" t="n">
        <x:v>46251</x:v>
      </x:c>
      <x:c r="B603" t="str">
        <x:v>Trapus šakotis</x:v>
      </x:c>
      <x:c r="C603" t="str">
        <x:v>L346</x:v>
      </x:c>
      <x:c r="D603"/>
      <x:c r="E603" s="38"/>
      <x:c r="F603"/>
      <x:c r="G603" s="36"/>
      <x:c r="H603" s="38"/>
      <x:c r="I603"/>
      <x:c r="J603" s="36"/>
      <x:c r="K603" s="38"/>
      <x:c r="L603"/>
      <x:c r="M603" s="36"/>
      <x:c r="N603" s="38"/>
      <x:c r="O603" s="38"/>
      <x:c r="P603" s="38"/>
      <x:c r="Q603"/>
    </x:row>
    <x:row r="604">
      <x:c r="A604" s="36" t="n">
        <x:v>46251</x:v>
      </x:c>
      <x:c r="B604" t="str">
        <x:v>Šakotis su sviestu</x:v>
      </x:c>
      <x:c r="C604" t="str">
        <x:v>L346</x:v>
      </x:c>
      <x:c r="D604" t="str">
        <x:v>Miltai</x:v>
      </x:c>
      <x:c r="E604" s="38" t="n">
        <x:v>15.999997440000001</x:v>
      </x:c>
      <x:c r="F604" t="str">
        <x:v>Mil0812</x:v>
      </x:c>
      <x:c r="G604" s="36" t="n">
        <x:v>46589</x:v>
      </x:c>
      <x:c r="H604" s="38" t="n">
        <x:v>15.999997440000001</x:v>
      </x:c>
      <x:c r="I604"/>
      <x:c r="J604" s="36"/>
      <x:c r="K604" s="38"/>
      <x:c r="L604"/>
      <x:c r="M604" s="36"/>
      <x:c r="N604" s="38"/>
      <x:c r="O604" s="38" t="n">
        <x:v>15.999997440000001</x:v>
      </x:c>
      <x:c r="P604" s="38" t="n">
        <x:v>0</x:v>
      </x:c>
      <x:c r="Q604" t="str">
        <x:v>OK</x:v>
      </x:c>
    </x:row>
    <x:row r="605">
      <x:c r="A605" s="36" t="n">
        <x:v>46251</x:v>
      </x:c>
      <x:c r="B605" t="str">
        <x:v>Šakotis su sviestu</x:v>
      </x:c>
      <x:c r="C605" t="str">
        <x:v>L346</x:v>
      </x:c>
      <x:c r="D605" t="str">
        <x:v>Pienas</x:v>
      </x:c>
      <x:c r="E605" s="38" t="n">
        <x:v>5.9999990400000005</x:v>
      </x:c>
      <x:c r="F605" t="str">
        <x:v>P0812</x:v>
      </x:c>
      <x:c r="G605" s="36" t="n">
        <x:v>46252</x:v>
      </x:c>
      <x:c r="H605" s="38" t="n">
        <x:v>5.9999990400000005</x:v>
      </x:c>
      <x:c r="I605"/>
      <x:c r="J605" s="36"/>
      <x:c r="K605" s="38"/>
      <x:c r="L605"/>
      <x:c r="M605" s="36"/>
      <x:c r="N605" s="38"/>
      <x:c r="O605" s="38" t="n">
        <x:v>5.9999990400000005</x:v>
      </x:c>
      <x:c r="P605" s="38" t="n">
        <x:v>0</x:v>
      </x:c>
      <x:c r="Q605" t="str">
        <x:v>OK</x:v>
      </x:c>
    </x:row>
    <x:row r="606">
      <x:c r="A606" s="36" t="n">
        <x:v>46251</x:v>
      </x:c>
      <x:c r="B606" t="str">
        <x:v>Šakotis su sviestu</x:v>
      </x:c>
      <x:c r="C606" t="str">
        <x:v>L346</x:v>
      </x:c>
      <x:c r="D606" t="str">
        <x:v>Kiaušiniai</x:v>
      </x:c>
      <x:c r="E606" s="38" t="n">
        <x:v>21.9999808</x:v>
      </x:c>
      <x:c r="F606" t="str">
        <x:v>K0803</x:v>
      </x:c>
      <x:c r="G606" s="36" t="n">
        <x:v>46257</x:v>
      </x:c>
      <x:c r="H606" s="38" t="n">
        <x:v>21.9999808</x:v>
      </x:c>
      <x:c r="I606"/>
      <x:c r="J606" s="36"/>
      <x:c r="K606" s="38"/>
      <x:c r="L606"/>
      <x:c r="M606" s="36"/>
      <x:c r="N606" s="38"/>
      <x:c r="O606" s="38" t="n">
        <x:v>21.9999808</x:v>
      </x:c>
      <x:c r="P606" s="38" t="n">
        <x:v>0</x:v>
      </x:c>
      <x:c r="Q606" t="str">
        <x:v>OK</x:v>
      </x:c>
    </x:row>
    <x:row r="607">
      <x:c r="A607" s="36" t="n">
        <x:v>46251</x:v>
      </x:c>
      <x:c r="B607" t="str">
        <x:v>Šakotis su sviestu</x:v>
      </x:c>
      <x:c r="C607" t="str">
        <x:v>L346</x:v>
      </x:c>
      <x:c r="D607" t="str">
        <x:v>Cukrus</x:v>
      </x:c>
      <x:c r="E607" s="38" t="n">
        <x:v>11.999998080000001</x:v>
      </x:c>
      <x:c r="F607" t="str">
        <x:v>Cuk0730</x:v>
      </x:c>
      <x:c r="G607" s="36" t="n">
        <x:v>46388</x:v>
      </x:c>
      <x:c r="H607" s="38" t="n">
        <x:v>11.999998080000001</x:v>
      </x:c>
      <x:c r="I607"/>
      <x:c r="J607" s="36"/>
      <x:c r="K607" s="38"/>
      <x:c r="L607"/>
      <x:c r="M607" s="36"/>
      <x:c r="N607" s="38"/>
      <x:c r="O607" s="38" t="n">
        <x:v>11.999998080000001</x:v>
      </x:c>
      <x:c r="P607" s="38" t="n">
        <x:v>0</x:v>
      </x:c>
      <x:c r="Q607" t="str">
        <x:v>OK</x:v>
      </x:c>
    </x:row>
    <x:row r="608">
      <x:c r="A608" s="36" t="n">
        <x:v>46251</x:v>
      </x:c>
      <x:c r="B608" t="str">
        <x:v>Šakotis su sviestu</x:v>
      </x:c>
      <x:c r="C608" t="str">
        <x:v>L346</x:v>
      </x:c>
      <x:c r="D608" t="str">
        <x:v>Sviestas</x:v>
      </x:c>
      <x:c r="E608" s="38" t="n">
        <x:v>11.999998080000001</x:v>
      </x:c>
      <x:c r="F608" t="str">
        <x:v>Sv0630</x:v>
      </x:c>
      <x:c r="G608" s="36" t="n">
        <x:v>46368</x:v>
      </x:c>
      <x:c r="H608" s="38" t="n">
        <x:v>5.200051167999959</x:v>
      </x:c>
      <x:c r="I608" t="str">
        <x:v>Sv0730</x:v>
      </x:c>
      <x:c r="J608" s="36" t="n">
        <x:v>46546</x:v>
      </x:c>
      <x:c r="K608" s="38" t="n">
        <x:v>6.799946912000042</x:v>
      </x:c>
      <x:c r="L608"/>
      <x:c r="M608" s="36"/>
      <x:c r="N608" s="38"/>
      <x:c r="O608" s="38" t="n">
        <x:v>11.999998080000001</x:v>
      </x:c>
      <x:c r="P608" s="38" t="n">
        <x:v>0</x:v>
      </x:c>
      <x:c r="Q608" t="str">
        <x:v>OK</x:v>
      </x:c>
    </x:row>
    <x:row r="609">
      <x:c r="A609" s="36" t="n">
        <x:v>46251</x:v>
      </x:c>
      <x:c r="B609" t="str">
        <x:v>Šakotis su sviestu</x:v>
      </x:c>
      <x:c r="C609" t="str">
        <x:v>L346</x:v>
      </x:c>
      <x:c r="D609" t="str">
        <x:v>Kvapnioji medžiaga</x:v>
      </x:c>
      <x:c r="E609" s="38" t="n">
        <x:v>0.03999968</x:v>
      </x:c>
      <x:c r="F609" t="str">
        <x:v>Kvp0630</x:v>
      </x:c>
      <x:c r="G609" s="36" t="n">
        <x:v>46388</x:v>
      </x:c>
      <x:c r="H609" s="38" t="n">
        <x:v>0.03999968</x:v>
      </x:c>
      <x:c r="I609"/>
      <x:c r="J609" s="36"/>
      <x:c r="K609" s="38"/>
      <x:c r="L609"/>
      <x:c r="M609" s="36"/>
      <x:c r="N609" s="38"/>
      <x:c r="O609" s="38" t="n">
        <x:v>0.03999968</x:v>
      </x:c>
      <x:c r="P609" s="38" t="n">
        <x:v>0</x:v>
      </x:c>
      <x:c r="Q609" t="str">
        <x:v>OK</x:v>
      </x:c>
    </x:row>
    <x:row r="610">
      <x:c r="A610" s="36" t="n">
        <x:v>46251</x:v>
      </x:c>
      <x:c r="B610" t="str">
        <x:v>Šakotis su sviestu</x:v>
      </x:c>
      <x:c r="C610" t="str">
        <x:v>L346</x:v>
      </x:c>
      <x:c r="D610" t="str">
        <x:v>Ciberžolė</x:v>
      </x:c>
      <x:c r="E610" s="38" t="n">
        <x:v>0.13999888000000002</x:v>
      </x:c>
      <x:c r="F610" t="str">
        <x:v>Cib0805</x:v>
      </x:c>
      <x:c r="G610" s="36" t="n">
        <x:v>46895</x:v>
      </x:c>
      <x:c r="H610" s="38" t="n">
        <x:v>0.13999888000000002</x:v>
      </x:c>
      <x:c r="I610"/>
      <x:c r="J610" s="36"/>
      <x:c r="K610" s="38"/>
      <x:c r="L610"/>
      <x:c r="M610" s="36"/>
      <x:c r="N610" s="38"/>
      <x:c r="O610" s="38" t="n">
        <x:v>0.13999888000000002</x:v>
      </x:c>
      <x:c r="P610" s="38" t="n">
        <x:v>0</x:v>
      </x:c>
      <x:c r="Q610" t="str">
        <x:v>OK</x:v>
      </x:c>
    </x:row>
    <x:row r="611">
      <x:c r="A611" s="36" t="n">
        <x:v>46251</x:v>
      </x:c>
      <x:c r="B611" t="str">
        <x:v>Šakotis su sviestu</x:v>
      </x:c>
      <x:c r="C611" t="str">
        <x:v>L346</x:v>
      </x:c>
      <x:c r="D611" t="str">
        <x:v>Vanduo</x:v>
      </x:c>
      <x:c r="E611" s="38" t="n">
        <x:v>3.9999680000000004</x:v>
      </x:c>
      <x:c r="F611" t="str">
        <x:v>Netaikoma</x:v>
      </x:c>
      <x:c r="G611" s="36"/>
      <x:c r="H611" s="38" t="n">
        <x:v>3.9999680000000004</x:v>
      </x:c>
      <x:c r="I611"/>
      <x:c r="J611" s="36"/>
      <x:c r="K611" s="38"/>
      <x:c r="L611"/>
      <x:c r="M611" s="36"/>
      <x:c r="N611" s="38"/>
      <x:c r="O611" s="38" t="n">
        <x:v>3.9999680000000004</x:v>
      </x:c>
      <x:c r="P611" s="38" t="n">
        <x:v>0</x:v>
      </x:c>
      <x:c r="Q611" t="str">
        <x:v>OK</x:v>
      </x:c>
    </x:row>
    <x:row r="612">
      <x:c r="A612" s="36" t="n">
        <x:v>46252</x:v>
      </x:c>
      <x:c r="B612" t="str">
        <x:v>Šakotis</x:v>
      </x:c>
      <x:c r="C612" t="str">
        <x:v>L346</x:v>
      </x:c>
      <x:c r="D612" t="str">
        <x:v>Miltai</x:v>
      </x:c>
      <x:c r="E612" s="38" t="n">
        <x:v>78.399987456</x:v>
      </x:c>
      <x:c r="F612" t="str">
        <x:v>Mil0812</x:v>
      </x:c>
      <x:c r="G612" s="36" t="n">
        <x:v>46589</x:v>
      </x:c>
      <x:c r="H612" s="38" t="n">
        <x:v>78.399987456</x:v>
      </x:c>
      <x:c r="I612"/>
      <x:c r="J612" s="36"/>
      <x:c r="K612" s="38"/>
      <x:c r="L612"/>
      <x:c r="M612" s="36"/>
      <x:c r="N612" s="38"/>
      <x:c r="O612" s="38" t="n">
        <x:v>78.399987456</x:v>
      </x:c>
      <x:c r="P612" s="38" t="n">
        <x:v>0</x:v>
      </x:c>
      <x:c r="Q612" t="str">
        <x:v>OK</x:v>
      </x:c>
    </x:row>
    <x:row r="613">
      <x:c r="A613" s="36" t="n">
        <x:v>46252</x:v>
      </x:c>
      <x:c r="B613" t="str">
        <x:v>Šakotis</x:v>
      </x:c>
      <x:c r="C613" t="str">
        <x:v>L346</x:v>
      </x:c>
      <x:c r="D613" t="str">
        <x:v>Pienas</x:v>
      </x:c>
      <x:c r="E613" s="38" t="n">
        <x:v>29.399995296000004</x:v>
      </x:c>
      <x:c r="F613" t="str">
        <x:v>P0812</x:v>
      </x:c>
      <x:c r="G613" s="36" t="n">
        <x:v>46252</x:v>
      </x:c>
      <x:c r="H613" s="38" t="n">
        <x:v>29.399995296000004</x:v>
      </x:c>
      <x:c r="I613"/>
      <x:c r="J613" s="36"/>
      <x:c r="K613" s="38"/>
      <x:c r="L613"/>
      <x:c r="M613" s="36"/>
      <x:c r="N613" s="38"/>
      <x:c r="O613" s="38" t="n">
        <x:v>29.399995296000004</x:v>
      </x:c>
      <x:c r="P613" s="38" t="n">
        <x:v>0</x:v>
      </x:c>
      <x:c r="Q613" t="str">
        <x:v>OK</x:v>
      </x:c>
    </x:row>
    <x:row r="614">
      <x:c r="A614" s="36" t="n">
        <x:v>46252</x:v>
      </x:c>
      <x:c r="B614" t="str">
        <x:v>Šakotis</x:v>
      </x:c>
      <x:c r="C614" t="str">
        <x:v>L346</x:v>
      </x:c>
      <x:c r="D614" t="str">
        <x:v>Kiaušiniai</x:v>
      </x:c>
      <x:c r="E614" s="38" t="n">
        <x:v>107.79990592</x:v>
      </x:c>
      <x:c r="F614" t="str">
        <x:v>K0803</x:v>
      </x:c>
      <x:c r="G614" s="36" t="n">
        <x:v>46257</x:v>
      </x:c>
      <x:c r="H614" s="38" t="n">
        <x:v>93.25162480000063</x:v>
      </x:c>
      <x:c r="I614" t="str">
        <x:v>K0810</x:v>
      </x:c>
      <x:c r="J614" s="36" t="n">
        <x:v>46264</x:v>
      </x:c>
      <x:c r="K614" s="38" t="n">
        <x:v>14.548281119999373</x:v>
      </x:c>
      <x:c r="L614"/>
      <x:c r="M614" s="36"/>
      <x:c r="N614" s="38"/>
      <x:c r="O614" s="38" t="n">
        <x:v>107.79990592</x:v>
      </x:c>
      <x:c r="P614" s="38" t="n">
        <x:v>0</x:v>
      </x:c>
      <x:c r="Q614" t="str">
        <x:v>OK</x:v>
      </x:c>
    </x:row>
    <x:row r="615">
      <x:c r="A615" s="36" t="n">
        <x:v>46252</x:v>
      </x:c>
      <x:c r="B615" t="str">
        <x:v>Šakotis</x:v>
      </x:c>
      <x:c r="C615" t="str">
        <x:v>L346</x:v>
      </x:c>
      <x:c r="D615" t="str">
        <x:v>Cukrus</x:v>
      </x:c>
      <x:c r="E615" s="38" t="n">
        <x:v>58.79999059200001</x:v>
      </x:c>
      <x:c r="F615" t="str">
        <x:v>Cuk0730</x:v>
      </x:c>
      <x:c r="G615" s="36" t="n">
        <x:v>46388</x:v>
      </x:c>
      <x:c r="H615" s="38" t="n">
        <x:v>58.79999059200001</x:v>
      </x:c>
      <x:c r="I615"/>
      <x:c r="J615" s="36"/>
      <x:c r="K615" s="38"/>
      <x:c r="L615"/>
      <x:c r="M615" s="36"/>
      <x:c r="N615" s="38"/>
      <x:c r="O615" s="38" t="n">
        <x:v>58.79999059200001</x:v>
      </x:c>
      <x:c r="P615" s="38" t="n">
        <x:v>0</x:v>
      </x:c>
      <x:c r="Q615" t="str">
        <x:v>OK</x:v>
      </x:c>
    </x:row>
    <x:row r="616">
      <x:c r="A616" s="36" t="n">
        <x:v>46252</x:v>
      </x:c>
      <x:c r="B616" t="str">
        <x:v>Šakotis</x:v>
      </x:c>
      <x:c r="C616" t="str">
        <x:v>L346</x:v>
      </x:c>
      <x:c r="D616" t="str">
        <x:v>Margarinas Šakočiui "Alvas"</x:v>
      </x:c>
      <x:c r="E616" s="38" t="n">
        <x:v>58.79999059200001</x:v>
      </x:c>
      <x:c r="F616" t="str">
        <x:v>MarA0730</x:v>
      </x:c>
      <x:c r="G616" s="36" t="n">
        <x:v>46322</x:v>
      </x:c>
      <x:c r="H616" s="38" t="n">
        <x:v>58.79999059200001</x:v>
      </x:c>
      <x:c r="I616"/>
      <x:c r="J616" s="36"/>
      <x:c r="K616" s="38"/>
      <x:c r="L616"/>
      <x:c r="M616" s="36"/>
      <x:c r="N616" s="38"/>
      <x:c r="O616" s="38" t="n">
        <x:v>58.79999059200001</x:v>
      </x:c>
      <x:c r="P616" s="38" t="n">
        <x:v>0</x:v>
      </x:c>
      <x:c r="Q616" t="str">
        <x:v>OK</x:v>
      </x:c>
    </x:row>
    <x:row r="617">
      <x:c r="A617" s="36" t="n">
        <x:v>46252</x:v>
      </x:c>
      <x:c r="B617" t="str">
        <x:v>Šakotis</x:v>
      </x:c>
      <x:c r="C617" t="str">
        <x:v>L346</x:v>
      </x:c>
      <x:c r="D617" t="str">
        <x:v>Kvapnioji medžiaga</x:v>
      </x:c>
      <x:c r="E617" s="38" t="n">
        <x:v>0.19599843200000003</x:v>
      </x:c>
      <x:c r="F617" t="str">
        <x:v>Kvp0630</x:v>
      </x:c>
      <x:c r="G617" s="36" t="n">
        <x:v>46388</x:v>
      </x:c>
      <x:c r="H617" s="38" t="n">
        <x:v>0.19599843200000003</x:v>
      </x:c>
      <x:c r="I617"/>
      <x:c r="J617" s="36"/>
      <x:c r="K617" s="38"/>
      <x:c r="L617"/>
      <x:c r="M617" s="36"/>
      <x:c r="N617" s="38"/>
      <x:c r="O617" s="38" t="n">
        <x:v>0.19599843200000003</x:v>
      </x:c>
      <x:c r="P617" s="38" t="n">
        <x:v>0</x:v>
      </x:c>
      <x:c r="Q617" t="str">
        <x:v>OK</x:v>
      </x:c>
    </x:row>
    <x:row r="618">
      <x:c r="A618" s="36" t="n">
        <x:v>46252</x:v>
      </x:c>
      <x:c r="B618" t="str">
        <x:v>Šakotis</x:v>
      </x:c>
      <x:c r="C618" t="str">
        <x:v>L346</x:v>
      </x:c>
      <x:c r="D618" t="str">
        <x:v>Ciberžolė</x:v>
      </x:c>
      <x:c r="E618" s="38" t="n">
        <x:v>0.6859945120000001</x:v>
      </x:c>
      <x:c r="F618" t="str">
        <x:v>Cib0805</x:v>
      </x:c>
      <x:c r="G618" s="36" t="n">
        <x:v>46895</x:v>
      </x:c>
      <x:c r="H618" s="38" t="n">
        <x:v>0.6859945120000001</x:v>
      </x:c>
      <x:c r="I618"/>
      <x:c r="J618" s="36"/>
      <x:c r="K618" s="38"/>
      <x:c r="L618"/>
      <x:c r="M618" s="36"/>
      <x:c r="N618" s="38"/>
      <x:c r="O618" s="38" t="n">
        <x:v>0.6859945120000001</x:v>
      </x:c>
      <x:c r="P618" s="38" t="n">
        <x:v>0</x:v>
      </x:c>
      <x:c r="Q618" t="str">
        <x:v>OK</x:v>
      </x:c>
    </x:row>
    <x:row r="619">
      <x:c r="A619" s="36" t="n">
        <x:v>46252</x:v>
      </x:c>
      <x:c r="B619" t="str">
        <x:v>Šakotis</x:v>
      </x:c>
      <x:c r="C619" t="str">
        <x:v>L346</x:v>
      </x:c>
      <x:c r="D619" t="str">
        <x:v>Vanduo</x:v>
      </x:c>
      <x:c r="E619" s="38" t="n">
        <x:v>9.79819288</x:v>
      </x:c>
      <x:c r="F619" t="str">
        <x:v>Netaikoma</x:v>
      </x:c>
      <x:c r="G619" s="36"/>
      <x:c r="H619" s="38" t="n">
        <x:v>9.79819288</x:v>
      </x:c>
      <x:c r="I619"/>
      <x:c r="J619" s="36"/>
      <x:c r="K619" s="38"/>
      <x:c r="L619"/>
      <x:c r="M619" s="36"/>
      <x:c r="N619" s="38"/>
      <x:c r="O619" s="38" t="n">
        <x:v>9.79819288</x:v>
      </x:c>
      <x:c r="P619" s="38" t="n">
        <x:v>0</x:v>
      </x:c>
      <x:c r="Q619" t="str">
        <x:v>OK</x:v>
      </x:c>
    </x:row>
    <x:row r="620">
      <x:c r="A620" s="36" t="n">
        <x:v>46252</x:v>
      </x:c>
      <x:c r="B620" t="str">
        <x:v>Trapus šakotis</x:v>
      </x:c>
      <x:c r="C620" t="str">
        <x:v>L346</x:v>
      </x:c>
      <x:c r="D620" t="str">
        <x:v>Miltai</x:v>
      </x:c>
      <x:c r="E620" s="38" t="n">
        <x:v>39.9999936</x:v>
      </x:c>
      <x:c r="F620" t="str">
        <x:v>Mil0812</x:v>
      </x:c>
      <x:c r="G620" s="36" t="n">
        <x:v>46589</x:v>
      </x:c>
      <x:c r="H620" s="38" t="n">
        <x:v>39.9999936</x:v>
      </x:c>
      <x:c r="I620"/>
      <x:c r="J620" s="36"/>
      <x:c r="K620" s="38"/>
      <x:c r="L620"/>
      <x:c r="M620" s="36"/>
      <x:c r="N620" s="38"/>
      <x:c r="O620" s="38" t="n">
        <x:v>39.9999936</x:v>
      </x:c>
      <x:c r="P620" s="38" t="n">
        <x:v>0</x:v>
      </x:c>
      <x:c r="Q620" t="str">
        <x:v>OK</x:v>
      </x:c>
    </x:row>
    <x:row r="621">
      <x:c r="A621" s="36" t="n">
        <x:v>46252</x:v>
      </x:c>
      <x:c r="B621" t="str">
        <x:v>Trapus šakotis</x:v>
      </x:c>
      <x:c r="C621" t="str">
        <x:v>L346</x:v>
      </x:c>
      <x:c r="D621" t="str">
        <x:v>Grietinės mišinys</x:v>
      </x:c>
      <x:c r="E621" s="38" t="n">
        <x:v>28.79999696</x:v>
      </x:c>
      <x:c r="F621" t="str">
        <x:v>Gr0812</x:v>
      </x:c>
      <x:c r="G621" s="36" t="n">
        <x:v>46255</x:v>
      </x:c>
      <x:c r="H621" s="38" t="n">
        <x:v>28.79999696</x:v>
      </x:c>
      <x:c r="I621"/>
      <x:c r="J621" s="36"/>
      <x:c r="K621" s="38"/>
      <x:c r="L621"/>
      <x:c r="M621" s="36"/>
      <x:c r="N621" s="38"/>
      <x:c r="O621" s="38" t="n">
        <x:v>28.79999696</x:v>
      </x:c>
      <x:c r="P621" s="38" t="n">
        <x:v>0</x:v>
      </x:c>
      <x:c r="Q621" t="str">
        <x:v>OK</x:v>
      </x:c>
    </x:row>
    <x:row r="622">
      <x:c r="A622" s="36" t="n">
        <x:v>46252</x:v>
      </x:c>
      <x:c r="B622" t="str">
        <x:v>Trapus šakotis</x:v>
      </x:c>
      <x:c r="C622" t="str">
        <x:v>L346</x:v>
      </x:c>
      <x:c r="D622" t="str">
        <x:v>Kiaušiniai</x:v>
      </x:c>
      <x:c r="E622" s="38" t="n">
        <x:v>39.9999936</x:v>
      </x:c>
      <x:c r="F622" t="str">
        <x:v>K0810</x:v>
      </x:c>
      <x:c r="G622" s="36" t="n">
        <x:v>46264</x:v>
      </x:c>
      <x:c r="H622" s="38" t="n">
        <x:v>39.9999936</x:v>
      </x:c>
      <x:c r="I622"/>
      <x:c r="J622" s="36"/>
      <x:c r="K622" s="38"/>
      <x:c r="L622"/>
      <x:c r="M622" s="36"/>
      <x:c r="N622" s="38"/>
      <x:c r="O622" s="38" t="n">
        <x:v>39.9999936</x:v>
      </x:c>
      <x:c r="P622" s="38" t="n">
        <x:v>0</x:v>
      </x:c>
      <x:c r="Q622" t="str">
        <x:v>OK</x:v>
      </x:c>
    </x:row>
    <x:row r="623">
      <x:c r="A623" s="36" t="n">
        <x:v>46252</x:v>
      </x:c>
      <x:c r="B623" t="str">
        <x:v>Trapus šakotis</x:v>
      </x:c>
      <x:c r="C623" t="str">
        <x:v>L346</x:v>
      </x:c>
      <x:c r="D623" t="str">
        <x:v>Cukrus</x:v>
      </x:c>
      <x:c r="E623" s="38" t="n">
        <x:v>23.999996160000002</x:v>
      </x:c>
      <x:c r="F623" t="str">
        <x:v>Cuk0730</x:v>
      </x:c>
      <x:c r="G623" s="36" t="n">
        <x:v>46388</x:v>
      </x:c>
      <x:c r="H623" s="38" t="n">
        <x:v>23.999996160000002</x:v>
      </x:c>
      <x:c r="I623"/>
      <x:c r="J623" s="36"/>
      <x:c r="K623" s="38"/>
      <x:c r="L623"/>
      <x:c r="M623" s="36"/>
      <x:c r="N623" s="38"/>
      <x:c r="O623" s="38" t="n">
        <x:v>23.999996160000002</x:v>
      </x:c>
      <x:c r="P623" s="38" t="n">
        <x:v>0</x:v>
      </x:c>
      <x:c r="Q623" t="str">
        <x:v>OK</x:v>
      </x:c>
    </x:row>
    <x:row r="624">
      <x:c r="A624" s="36" t="n">
        <x:v>46252</x:v>
      </x:c>
      <x:c r="B624" t="str">
        <x:v>Trapus šakotis</x:v>
      </x:c>
      <x:c r="C624" t="str">
        <x:v>L346</x:v>
      </x:c>
      <x:c r="D624" t="str">
        <x:v>Margarinas trapiam "IEVA"</x:v>
      </x:c>
      <x:c r="E624" s="38" t="n">
        <x:v>28.319961600000003</x:v>
      </x:c>
      <x:c r="F624" t="str">
        <x:v>MarI0730</x:v>
      </x:c>
      <x:c r="G624" s="36" t="n">
        <x:v>46401</x:v>
      </x:c>
      <x:c r="H624" s="38" t="n">
        <x:v>28.319961600000003</x:v>
      </x:c>
      <x:c r="I624"/>
      <x:c r="J624" s="36"/>
      <x:c r="K624" s="38"/>
      <x:c r="L624"/>
      <x:c r="M624" s="36"/>
      <x:c r="N624" s="38"/>
      <x:c r="O624" s="38" t="n">
        <x:v>28.319961600000003</x:v>
      </x:c>
      <x:c r="P624" s="38" t="n">
        <x:v>0</x:v>
      </x:c>
      <x:c r="Q624" t="str">
        <x:v>OK</x:v>
      </x:c>
    </x:row>
    <x:row r="625">
      <x:c r="A625" s="36" t="n">
        <x:v>46252</x:v>
      </x:c>
      <x:c r="B625" t="str">
        <x:v>Trapus šakotis</x:v>
      </x:c>
      <x:c r="C625" t="str">
        <x:v>L346</x:v>
      </x:c>
      <x:c r="D625"/>
      <x:c r="E625" s="38"/>
      <x:c r="F625"/>
      <x:c r="G625" s="36"/>
      <x:c r="H625" s="38"/>
      <x:c r="I625"/>
      <x:c r="J625" s="36"/>
      <x:c r="K625" s="38"/>
      <x:c r="L625"/>
      <x:c r="M625" s="36"/>
      <x:c r="N625" s="38"/>
      <x:c r="O625" s="38"/>
      <x:c r="P625" s="38"/>
      <x:c r="Q625"/>
    </x:row>
    <x:row r="626">
      <x:c r="A626" s="36" t="n">
        <x:v>46252</x:v>
      </x:c>
      <x:c r="B626" t="str">
        <x:v>Trapus šakotis</x:v>
      </x:c>
      <x:c r="C626" t="str">
        <x:v>L346</x:v>
      </x:c>
      <x:c r="D626"/>
      <x:c r="E626" s="38"/>
      <x:c r="F626"/>
      <x:c r="G626" s="36"/>
      <x:c r="H626" s="38"/>
      <x:c r="I626"/>
      <x:c r="J626" s="36"/>
      <x:c r="K626" s="38"/>
      <x:c r="L626"/>
      <x:c r="M626" s="36"/>
      <x:c r="N626" s="38"/>
      <x:c r="O626" s="38"/>
      <x:c r="P626" s="38"/>
      <x:c r="Q626"/>
    </x:row>
    <x:row r="627">
      <x:c r="A627" s="36" t="n">
        <x:v>46252</x:v>
      </x:c>
      <x:c r="B627" t="str">
        <x:v>Trapus šakotis</x:v>
      </x:c>
      <x:c r="C627" t="str">
        <x:v>L346</x:v>
      </x:c>
      <x:c r="D627"/>
      <x:c r="E627" s="38"/>
      <x:c r="F627"/>
      <x:c r="G627" s="36"/>
      <x:c r="H627" s="38"/>
      <x:c r="I627"/>
      <x:c r="J627" s="36"/>
      <x:c r="K627" s="38"/>
      <x:c r="L627"/>
      <x:c r="M627" s="36"/>
      <x:c r="N627" s="38"/>
      <x:c r="O627" s="38"/>
      <x:c r="P627" s="38"/>
      <x:c r="Q627"/>
    </x:row>
    <x:row r="628">
      <x:c r="A628" s="36" t="n">
        <x:v>46253</x:v>
      </x:c>
      <x:c r="B628" t="str">
        <x:v>Šakotis</x:v>
      </x:c>
      <x:c r="C628" t="str">
        <x:v>L346</x:v>
      </x:c>
      <x:c r="D628" t="str">
        <x:v>Miltai</x:v>
      </x:c>
      <x:c r="E628" s="38" t="n">
        <x:v>73.199988288</x:v>
      </x:c>
      <x:c r="F628" t="str">
        <x:v>Mil0812</x:v>
      </x:c>
      <x:c r="G628" s="36" t="n">
        <x:v>46589</x:v>
      </x:c>
      <x:c r="H628" s="38" t="n">
        <x:v>73.199988288</x:v>
      </x:c>
      <x:c r="I628"/>
      <x:c r="J628" s="36"/>
      <x:c r="K628" s="38"/>
      <x:c r="L628"/>
      <x:c r="M628" s="36"/>
      <x:c r="N628" s="38"/>
      <x:c r="O628" s="38" t="n">
        <x:v>73.199988288</x:v>
      </x:c>
      <x:c r="P628" s="38" t="n">
        <x:v>0</x:v>
      </x:c>
      <x:c r="Q628" t="str">
        <x:v>OK</x:v>
      </x:c>
    </x:row>
    <x:row r="629">
      <x:c r="A629" s="36" t="n">
        <x:v>46253</x:v>
      </x:c>
      <x:c r="B629" t="str">
        <x:v>Šakotis</x:v>
      </x:c>
      <x:c r="C629" t="str">
        <x:v>L346</x:v>
      </x:c>
      <x:c r="D629" t="str">
        <x:v>Pienas</x:v>
      </x:c>
      <x:c r="E629" s="38" t="n">
        <x:v>27.449995608000002</x:v>
      </x:c>
      <x:c r="F629" t="str">
        <x:v>P0817</x:v>
      </x:c>
      <x:c r="G629" s="36" t="n">
        <x:v>46255</x:v>
      </x:c>
      <x:c r="H629" s="38" t="n">
        <x:v>27.449995608000002</x:v>
      </x:c>
      <x:c r="I629"/>
      <x:c r="J629" s="36"/>
      <x:c r="K629" s="38"/>
      <x:c r="L629"/>
      <x:c r="M629" s="36"/>
      <x:c r="N629" s="38"/>
      <x:c r="O629" s="38" t="n">
        <x:v>27.449995608000002</x:v>
      </x:c>
      <x:c r="P629" s="38" t="n">
        <x:v>0</x:v>
      </x:c>
      <x:c r="Q629" t="str">
        <x:v>OK</x:v>
      </x:c>
    </x:row>
    <x:row r="630">
      <x:c r="A630" s="36" t="n">
        <x:v>46253</x:v>
      </x:c>
      <x:c r="B630" t="str">
        <x:v>Šakotis</x:v>
      </x:c>
      <x:c r="C630" t="str">
        <x:v>L346</x:v>
      </x:c>
      <x:c r="D630" t="str">
        <x:v>Kiaušiniai</x:v>
      </x:c>
      <x:c r="E630" s="38" t="n">
        <x:v>100.64991215999999</x:v>
      </x:c>
      <x:c r="F630" t="str">
        <x:v>K0810</x:v>
      </x:c>
      <x:c r="G630" s="36" t="n">
        <x:v>46264</x:v>
      </x:c>
      <x:c r="H630" s="38" t="n">
        <x:v>100.64991215999999</x:v>
      </x:c>
      <x:c r="I630"/>
      <x:c r="J630" s="36"/>
      <x:c r="K630" s="38"/>
      <x:c r="L630"/>
      <x:c r="M630" s="36"/>
      <x:c r="N630" s="38"/>
      <x:c r="O630" s="38" t="n">
        <x:v>100.64991215999999</x:v>
      </x:c>
      <x:c r="P630" s="38" t="n">
        <x:v>0</x:v>
      </x:c>
      <x:c r="Q630" t="str">
        <x:v>OK</x:v>
      </x:c>
    </x:row>
    <x:row r="631">
      <x:c r="A631" s="36" t="n">
        <x:v>46253</x:v>
      </x:c>
      <x:c r="B631" t="str">
        <x:v>Šakotis</x:v>
      </x:c>
      <x:c r="C631" t="str">
        <x:v>L346</x:v>
      </x:c>
      <x:c r="D631" t="str">
        <x:v>Cukrus</x:v>
      </x:c>
      <x:c r="E631" s="38" t="n">
        <x:v>54.899991216000004</x:v>
      </x:c>
      <x:c r="F631" t="str">
        <x:v>Cuk0730</x:v>
      </x:c>
      <x:c r="G631" s="36" t="n">
        <x:v>46388</x:v>
      </x:c>
      <x:c r="H631" s="38" t="n">
        <x:v>54.899991216000004</x:v>
      </x:c>
      <x:c r="I631"/>
      <x:c r="J631" s="36"/>
      <x:c r="K631" s="38"/>
      <x:c r="L631"/>
      <x:c r="M631" s="36"/>
      <x:c r="N631" s="38"/>
      <x:c r="O631" s="38" t="n">
        <x:v>54.899991216000004</x:v>
      </x:c>
      <x:c r="P631" s="38" t="n">
        <x:v>0</x:v>
      </x:c>
      <x:c r="Q631" t="str">
        <x:v>OK</x:v>
      </x:c>
    </x:row>
    <x:row r="632">
      <x:c r="A632" s="36" t="n">
        <x:v>46253</x:v>
      </x:c>
      <x:c r="B632" t="str">
        <x:v>Šakotis</x:v>
      </x:c>
      <x:c r="C632" t="str">
        <x:v>L346</x:v>
      </x:c>
      <x:c r="D632" t="str">
        <x:v>Margarinas Šakočiui "Alvas"</x:v>
      </x:c>
      <x:c r="E632" s="38" t="n">
        <x:v>54.899991216000004</x:v>
      </x:c>
      <x:c r="F632" t="str">
        <x:v>MarA0730</x:v>
      </x:c>
      <x:c r="G632" s="36" t="n">
        <x:v>46322</x:v>
      </x:c>
      <x:c r="H632" s="38" t="n">
        <x:v>54.899991216000004</x:v>
      </x:c>
      <x:c r="I632"/>
      <x:c r="J632" s="36"/>
      <x:c r="K632" s="38"/>
      <x:c r="L632"/>
      <x:c r="M632" s="36"/>
      <x:c r="N632" s="38"/>
      <x:c r="O632" s="38" t="n">
        <x:v>54.899991216000004</x:v>
      </x:c>
      <x:c r="P632" s="38" t="n">
        <x:v>0</x:v>
      </x:c>
      <x:c r="Q632" t="str">
        <x:v>OK</x:v>
      </x:c>
    </x:row>
    <x:row r="633">
      <x:c r="A633" s="36" t="n">
        <x:v>46253</x:v>
      </x:c>
      <x:c r="B633" t="str">
        <x:v>Šakotis</x:v>
      </x:c>
      <x:c r="C633" t="str">
        <x:v>L346</x:v>
      </x:c>
      <x:c r="D633" t="str">
        <x:v>Kvapnioji medžiaga</x:v>
      </x:c>
      <x:c r="E633" s="38" t="n">
        <x:v>0.18299853600000002</x:v>
      </x:c>
      <x:c r="F633" t="str">
        <x:v>Kvp0630</x:v>
      </x:c>
      <x:c r="G633" s="36" t="n">
        <x:v>46388</x:v>
      </x:c>
      <x:c r="H633" s="38" t="n">
        <x:v>0.18299853600000002</x:v>
      </x:c>
      <x:c r="I633"/>
      <x:c r="J633" s="36"/>
      <x:c r="K633" s="38"/>
      <x:c r="L633"/>
      <x:c r="M633" s="36"/>
      <x:c r="N633" s="38"/>
      <x:c r="O633" s="38" t="n">
        <x:v>0.18299853600000002</x:v>
      </x:c>
      <x:c r="P633" s="38" t="n">
        <x:v>0</x:v>
      </x:c>
      <x:c r="Q633" t="str">
        <x:v>OK</x:v>
      </x:c>
    </x:row>
    <x:row r="634">
      <x:c r="A634" s="36" t="n">
        <x:v>46253</x:v>
      </x:c>
      <x:c r="B634" t="str">
        <x:v>Šakotis</x:v>
      </x:c>
      <x:c r="C634" t="str">
        <x:v>L346</x:v>
      </x:c>
      <x:c r="D634" t="str">
        <x:v>Ciberžolė</x:v>
      </x:c>
      <x:c r="E634" s="38" t="n">
        <x:v>0.640494876</x:v>
      </x:c>
      <x:c r="F634" t="str">
        <x:v>Cib0805</x:v>
      </x:c>
      <x:c r="G634" s="36" t="n">
        <x:v>46895</x:v>
      </x:c>
      <x:c r="H634" s="38" t="n">
        <x:v>0.640494876</x:v>
      </x:c>
      <x:c r="I634"/>
      <x:c r="J634" s="36"/>
      <x:c r="K634" s="38"/>
      <x:c r="L634"/>
      <x:c r="M634" s="36"/>
      <x:c r="N634" s="38"/>
      <x:c r="O634" s="38" t="n">
        <x:v>0.640494876</x:v>
      </x:c>
      <x:c r="P634" s="38" t="n">
        <x:v>0</x:v>
      </x:c>
      <x:c r="Q634" t="str">
        <x:v>OK</x:v>
      </x:c>
    </x:row>
    <x:row r="635">
      <x:c r="A635" s="36" t="n">
        <x:v>46253</x:v>
      </x:c>
      <x:c r="B635" t="str">
        <x:v>Šakotis</x:v>
      </x:c>
      <x:c r="C635" t="str">
        <x:v>L346</x:v>
      </x:c>
      <x:c r="D635" t="str">
        <x:v>Vanduo</x:v>
      </x:c>
      <x:c r="E635" s="38" t="n">
        <x:v>9.14831274</x:v>
      </x:c>
      <x:c r="F635" t="str">
        <x:v>Netaikoma</x:v>
      </x:c>
      <x:c r="G635" s="36"/>
      <x:c r="H635" s="38" t="n">
        <x:v>9.14831274</x:v>
      </x:c>
      <x:c r="I635"/>
      <x:c r="J635" s="36"/>
      <x:c r="K635" s="38"/>
      <x:c r="L635"/>
      <x:c r="M635" s="36"/>
      <x:c r="N635" s="38"/>
      <x:c r="O635" s="38" t="n">
        <x:v>9.14831274</x:v>
      </x:c>
      <x:c r="P635" s="38" t="n">
        <x:v>0</x:v>
      </x:c>
      <x:c r="Q635" t="str">
        <x:v>OK</x:v>
      </x:c>
    </x:row>
    <x:row r="636">
      <x:c r="A636" s="36" t="n">
        <x:v>46253</x:v>
      </x:c>
      <x:c r="B636" t="str">
        <x:v>Trapus šakotis</x:v>
      </x:c>
      <x:c r="C636" t="str">
        <x:v>L346</x:v>
      </x:c>
      <x:c r="D636" t="str">
        <x:v>Miltai</x:v>
      </x:c>
      <x:c r="E636" s="38" t="n">
        <x:v>39.9999936</x:v>
      </x:c>
      <x:c r="F636" t="str">
        <x:v>Mil0812</x:v>
      </x:c>
      <x:c r="G636" s="36" t="n">
        <x:v>46589</x:v>
      </x:c>
      <x:c r="H636" s="38" t="n">
        <x:v>39.9999936</x:v>
      </x:c>
      <x:c r="I636"/>
      <x:c r="J636" s="36"/>
      <x:c r="K636" s="38"/>
      <x:c r="L636"/>
      <x:c r="M636" s="36"/>
      <x:c r="N636" s="38"/>
      <x:c r="O636" s="38" t="n">
        <x:v>39.9999936</x:v>
      </x:c>
      <x:c r="P636" s="38" t="n">
        <x:v>0</x:v>
      </x:c>
      <x:c r="Q636" t="str">
        <x:v>OK</x:v>
      </x:c>
    </x:row>
    <x:row r="637">
      <x:c r="A637" s="36" t="n">
        <x:v>46253</x:v>
      </x:c>
      <x:c r="B637" t="str">
        <x:v>Trapus šakotis</x:v>
      </x:c>
      <x:c r="C637" t="str">
        <x:v>L346</x:v>
      </x:c>
      <x:c r="D637" t="str">
        <x:v>Grietinės mišinys</x:v>
      </x:c>
      <x:c r="E637" s="38" t="n">
        <x:v>28.79999696</x:v>
      </x:c>
      <x:c r="F637" t="str">
        <x:v>Gr0812</x:v>
      </x:c>
      <x:c r="G637" s="36" t="n">
        <x:v>46255</x:v>
      </x:c>
      <x:c r="H637" s="38" t="n">
        <x:v>3.6000471199999993</x:v>
      </x:c>
      <x:c r="I637" t="str">
        <x:v>Gr0817</x:v>
      </x:c>
      <x:c r="J637" s="36" t="n">
        <x:v>46258</x:v>
      </x:c>
      <x:c r="K637" s="38" t="n">
        <x:v>25.199949840000002</x:v>
      </x:c>
      <x:c r="L637"/>
      <x:c r="M637" s="36"/>
      <x:c r="N637" s="38"/>
      <x:c r="O637" s="38" t="n">
        <x:v>28.79999696</x:v>
      </x:c>
      <x:c r="P637" s="38" t="n">
        <x:v>0</x:v>
      </x:c>
      <x:c r="Q637" t="str">
        <x:v>OK</x:v>
      </x:c>
    </x:row>
    <x:row r="638">
      <x:c r="A638" s="36" t="n">
        <x:v>46253</x:v>
      </x:c>
      <x:c r="B638" t="str">
        <x:v>Trapus šakotis</x:v>
      </x:c>
      <x:c r="C638" t="str">
        <x:v>L346</x:v>
      </x:c>
      <x:c r="D638" t="str">
        <x:v>Kiaušiniai</x:v>
      </x:c>
      <x:c r="E638" s="38" t="n">
        <x:v>39.9999936</x:v>
      </x:c>
      <x:c r="F638" t="str">
        <x:v>K0810</x:v>
      </x:c>
      <x:c r="G638" s="36" t="n">
        <x:v>46264</x:v>
      </x:c>
      <x:c r="H638" s="38" t="n">
        <x:v>39.9999936</x:v>
      </x:c>
      <x:c r="I638"/>
      <x:c r="J638" s="36"/>
      <x:c r="K638" s="38"/>
      <x:c r="L638"/>
      <x:c r="M638" s="36"/>
      <x:c r="N638" s="38"/>
      <x:c r="O638" s="38" t="n">
        <x:v>39.9999936</x:v>
      </x:c>
      <x:c r="P638" s="38" t="n">
        <x:v>0</x:v>
      </x:c>
      <x:c r="Q638" t="str">
        <x:v>OK</x:v>
      </x:c>
    </x:row>
    <x:row r="639">
      <x:c r="A639" s="36" t="n">
        <x:v>46253</x:v>
      </x:c>
      <x:c r="B639" t="str">
        <x:v>Trapus šakotis</x:v>
      </x:c>
      <x:c r="C639" t="str">
        <x:v>L346</x:v>
      </x:c>
      <x:c r="D639" t="str">
        <x:v>Cukrus</x:v>
      </x:c>
      <x:c r="E639" s="38" t="n">
        <x:v>23.999996160000002</x:v>
      </x:c>
      <x:c r="F639" t="str">
        <x:v>Cuk0730</x:v>
      </x:c>
      <x:c r="G639" s="36" t="n">
        <x:v>46388</x:v>
      </x:c>
      <x:c r="H639" s="38" t="n">
        <x:v>23.999996160000002</x:v>
      </x:c>
      <x:c r="I639"/>
      <x:c r="J639" s="36"/>
      <x:c r="K639" s="38"/>
      <x:c r="L639"/>
      <x:c r="M639" s="36"/>
      <x:c r="N639" s="38"/>
      <x:c r="O639" s="38" t="n">
        <x:v>23.999996160000002</x:v>
      </x:c>
      <x:c r="P639" s="38" t="n">
        <x:v>0</x:v>
      </x:c>
      <x:c r="Q639" t="str">
        <x:v>OK</x:v>
      </x:c>
    </x:row>
    <x:row r="640">
      <x:c r="A640" s="36" t="n">
        <x:v>46253</x:v>
      </x:c>
      <x:c r="B640" t="str">
        <x:v>Trapus šakotis</x:v>
      </x:c>
      <x:c r="C640" t="str">
        <x:v>L346</x:v>
      </x:c>
      <x:c r="D640" t="str">
        <x:v>Margarinas trapiam "IEVA"</x:v>
      </x:c>
      <x:c r="E640" s="38" t="n">
        <x:v>28.319961600000003</x:v>
      </x:c>
      <x:c r="F640" t="str">
        <x:v>MarI0730</x:v>
      </x:c>
      <x:c r="G640" s="36" t="n">
        <x:v>46401</x:v>
      </x:c>
      <x:c r="H640" s="38" t="n">
        <x:v>28.319961600000003</x:v>
      </x:c>
      <x:c r="I640"/>
      <x:c r="J640" s="36"/>
      <x:c r="K640" s="38"/>
      <x:c r="L640"/>
      <x:c r="M640" s="36"/>
      <x:c r="N640" s="38"/>
      <x:c r="O640" s="38" t="n">
        <x:v>28.319961600000003</x:v>
      </x:c>
      <x:c r="P640" s="38" t="n">
        <x:v>0</x:v>
      </x:c>
      <x:c r="Q640" t="str">
        <x:v>OK</x:v>
      </x:c>
    </x:row>
    <x:row r="641">
      <x:c r="A641" s="36" t="n">
        <x:v>46253</x:v>
      </x:c>
      <x:c r="B641" t="str">
        <x:v>Trapus šakotis</x:v>
      </x:c>
      <x:c r="C641" t="str">
        <x:v>L346</x:v>
      </x:c>
      <x:c r="D641"/>
      <x:c r="E641" s="38"/>
      <x:c r="F641"/>
      <x:c r="G641" s="36"/>
      <x:c r="H641" s="38"/>
      <x:c r="I641"/>
      <x:c r="J641" s="36"/>
      <x:c r="K641" s="38"/>
      <x:c r="L641"/>
      <x:c r="M641" s="36"/>
      <x:c r="N641" s="38"/>
      <x:c r="O641" s="38"/>
      <x:c r="P641" s="38"/>
      <x:c r="Q641"/>
    </x:row>
    <x:row r="642">
      <x:c r="A642" s="36" t="n">
        <x:v>46253</x:v>
      </x:c>
      <x:c r="B642" t="str">
        <x:v>Trapus šakotis</x:v>
      </x:c>
      <x:c r="C642" t="str">
        <x:v>L346</x:v>
      </x:c>
      <x:c r="D642"/>
      <x:c r="E642" s="38"/>
      <x:c r="F642"/>
      <x:c r="G642" s="36"/>
      <x:c r="H642" s="38"/>
      <x:c r="I642"/>
      <x:c r="J642" s="36"/>
      <x:c r="K642" s="38"/>
      <x:c r="L642"/>
      <x:c r="M642" s="36"/>
      <x:c r="N642" s="38"/>
      <x:c r="O642" s="38"/>
      <x:c r="P642" s="38"/>
      <x:c r="Q642"/>
    </x:row>
    <x:row r="643">
      <x:c r="A643" s="36" t="n">
        <x:v>46253</x:v>
      </x:c>
      <x:c r="B643" t="str">
        <x:v>Trapus šakotis</x:v>
      </x:c>
      <x:c r="C643" t="str">
        <x:v>L346</x:v>
      </x:c>
      <x:c r="D643"/>
      <x:c r="E643" s="38"/>
      <x:c r="F643"/>
      <x:c r="G643" s="36"/>
      <x:c r="H643" s="38"/>
      <x:c r="I643"/>
      <x:c r="J643" s="36"/>
      <x:c r="K643" s="38"/>
      <x:c r="L643"/>
      <x:c r="M643" s="36"/>
      <x:c r="N643" s="38"/>
      <x:c r="O643" s="38"/>
      <x:c r="P643" s="38"/>
      <x:c r="Q643"/>
    </x:row>
    <x:row r="644">
      <x:c r="A644" s="36" t="n">
        <x:v>46254</x:v>
      </x:c>
      <x:c r="B644" t="str">
        <x:v>Šakotis</x:v>
      </x:c>
      <x:c r="C644" t="str">
        <x:v>L346</x:v>
      </x:c>
      <x:c r="D644" t="str">
        <x:v>Miltai</x:v>
      </x:c>
      <x:c r="E644" s="38" t="n">
        <x:v>75.99998784</x:v>
      </x:c>
      <x:c r="F644" t="str">
        <x:v>Mil0812</x:v>
      </x:c>
      <x:c r="G644" s="36" t="n">
        <x:v>46589</x:v>
      </x:c>
      <x:c r="H644" s="38" t="n">
        <x:v>75.99998784</x:v>
      </x:c>
      <x:c r="I644"/>
      <x:c r="J644" s="36"/>
      <x:c r="K644" s="38"/>
      <x:c r="L644"/>
      <x:c r="M644" s="36"/>
      <x:c r="N644" s="38"/>
      <x:c r="O644" s="38" t="n">
        <x:v>75.99998784</x:v>
      </x:c>
      <x:c r="P644" s="38" t="n">
        <x:v>0</x:v>
      </x:c>
      <x:c r="Q644" t="str">
        <x:v>OK</x:v>
      </x:c>
    </x:row>
    <x:row r="645">
      <x:c r="A645" s="36" t="n">
        <x:v>46254</x:v>
      </x:c>
      <x:c r="B645" t="str">
        <x:v>Šakotis</x:v>
      </x:c>
      <x:c r="C645" t="str">
        <x:v>L346</x:v>
      </x:c>
      <x:c r="D645" t="str">
        <x:v>Pienas</x:v>
      </x:c>
      <x:c r="E645" s="38" t="n">
        <x:v>28.49999544</x:v>
      </x:c>
      <x:c r="F645" t="str">
        <x:v>P0817</x:v>
      </x:c>
      <x:c r="G645" s="36" t="n">
        <x:v>46255</x:v>
      </x:c>
      <x:c r="H645" s="38" t="n">
        <x:v>22.550004391999998</x:v>
      </x:c>
      <x:c r="I645" t="str">
        <x:v>P0819</x:v>
      </x:c>
      <x:c r="J645" s="36" t="n">
        <x:v>46259</x:v>
      </x:c>
      <x:c r="K645" s="38" t="n">
        <x:v>5.949991048000001</x:v>
      </x:c>
      <x:c r="L645"/>
      <x:c r="M645" s="36"/>
      <x:c r="N645" s="38"/>
      <x:c r="O645" s="38" t="n">
        <x:v>28.49999544</x:v>
      </x:c>
      <x:c r="P645" s="38" t="n">
        <x:v>0</x:v>
      </x:c>
      <x:c r="Q645" t="str">
        <x:v>OK</x:v>
      </x:c>
    </x:row>
    <x:row r="646">
      <x:c r="A646" s="36" t="n">
        <x:v>46254</x:v>
      </x:c>
      <x:c r="B646" t="str">
        <x:v>Šakotis</x:v>
      </x:c>
      <x:c r="C646" t="str">
        <x:v>L346</x:v>
      </x:c>
      <x:c r="D646" t="str">
        <x:v>Kiaušiniai</x:v>
      </x:c>
      <x:c r="E646" s="38" t="n">
        <x:v>104.49990879999999</x:v>
      </x:c>
      <x:c r="F646" t="str">
        <x:v>K0810</x:v>
      </x:c>
      <x:c r="G646" s="36" t="n">
        <x:v>46264</x:v>
      </x:c>
      <x:c r="H646" s="38" t="n">
        <x:v>104.49990879999999</x:v>
      </x:c>
      <x:c r="I646"/>
      <x:c r="J646" s="36"/>
      <x:c r="K646" s="38"/>
      <x:c r="L646"/>
      <x:c r="M646" s="36"/>
      <x:c r="N646" s="38"/>
      <x:c r="O646" s="38" t="n">
        <x:v>104.49990879999999</x:v>
      </x:c>
      <x:c r="P646" s="38" t="n">
        <x:v>0</x:v>
      </x:c>
      <x:c r="Q646" t="str">
        <x:v>OK</x:v>
      </x:c>
    </x:row>
    <x:row r="647">
      <x:c r="A647" s="36" t="n">
        <x:v>46254</x:v>
      </x:c>
      <x:c r="B647" t="str">
        <x:v>Šakotis</x:v>
      </x:c>
      <x:c r="C647" t="str">
        <x:v>L346</x:v>
      </x:c>
      <x:c r="D647" t="str">
        <x:v>Cukrus</x:v>
      </x:c>
      <x:c r="E647" s="38" t="n">
        <x:v>56.99999088</x:v>
      </x:c>
      <x:c r="F647" t="str">
        <x:v>Cuk0730</x:v>
      </x:c>
      <x:c r="G647" s="36" t="n">
        <x:v>46388</x:v>
      </x:c>
      <x:c r="H647" s="38" t="n">
        <x:v>21.606790991999787</x:v>
      </x:c>
      <x:c r="I647" t="str">
        <x:v>Cuk0812</x:v>
      </x:c>
      <x:c r="J647" s="36" t="n">
        <x:v>46388</x:v>
      </x:c>
      <x:c r="K647" s="38" t="n">
        <x:v>35.39319988800021</x:v>
      </x:c>
      <x:c r="L647"/>
      <x:c r="M647" s="36"/>
      <x:c r="N647" s="38"/>
      <x:c r="O647" s="38" t="n">
        <x:v>56.99999088</x:v>
      </x:c>
      <x:c r="P647" s="38" t="n">
        <x:v>0</x:v>
      </x:c>
      <x:c r="Q647" t="str">
        <x:v>OK</x:v>
      </x:c>
    </x:row>
    <x:row r="648">
      <x:c r="A648" s="36" t="n">
        <x:v>46254</x:v>
      </x:c>
      <x:c r="B648" t="str">
        <x:v>Šakotis</x:v>
      </x:c>
      <x:c r="C648" t="str">
        <x:v>L346</x:v>
      </x:c>
      <x:c r="D648" t="str">
        <x:v>Margarinas Šakočiui "Alvas"</x:v>
      </x:c>
      <x:c r="E648" s="38" t="n">
        <x:v>56.99999088</x:v>
      </x:c>
      <x:c r="F648" t="str">
        <x:v>MarA0730</x:v>
      </x:c>
      <x:c r="G648" s="36" t="n">
        <x:v>46322</x:v>
      </x:c>
      <x:c r="H648" s="38" t="n">
        <x:v>56.99999088</x:v>
      </x:c>
      <x:c r="I648"/>
      <x:c r="J648" s="36"/>
      <x:c r="K648" s="38"/>
      <x:c r="L648"/>
      <x:c r="M648" s="36"/>
      <x:c r="N648" s="38"/>
      <x:c r="O648" s="38" t="n">
        <x:v>56.99999088</x:v>
      </x:c>
      <x:c r="P648" s="38" t="n">
        <x:v>0</x:v>
      </x:c>
      <x:c r="Q648" t="str">
        <x:v>OK</x:v>
      </x:c>
    </x:row>
    <x:row r="649">
      <x:c r="A649" s="36" t="n">
        <x:v>46254</x:v>
      </x:c>
      <x:c r="B649" t="str">
        <x:v>Šakotis</x:v>
      </x:c>
      <x:c r="C649" t="str">
        <x:v>L346</x:v>
      </x:c>
      <x:c r="D649" t="str">
        <x:v>Kvapnioji medžiaga</x:v>
      </x:c>
      <x:c r="E649" s="38" t="n">
        <x:v>0.18999848</x:v>
      </x:c>
      <x:c r="F649" t="str">
        <x:v>Kvp0630</x:v>
      </x:c>
      <x:c r="G649" s="36" t="n">
        <x:v>46388</x:v>
      </x:c>
      <x:c r="H649" s="38" t="n">
        <x:v>0.18999848</x:v>
      </x:c>
      <x:c r="I649"/>
      <x:c r="J649" s="36"/>
      <x:c r="K649" s="38"/>
      <x:c r="L649"/>
      <x:c r="M649" s="36"/>
      <x:c r="N649" s="38"/>
      <x:c r="O649" s="38" t="n">
        <x:v>0.18999848</x:v>
      </x:c>
      <x:c r="P649" s="38" t="n">
        <x:v>0</x:v>
      </x:c>
      <x:c r="Q649" t="str">
        <x:v>OK</x:v>
      </x:c>
    </x:row>
    <x:row r="650">
      <x:c r="A650" s="36" t="n">
        <x:v>46254</x:v>
      </x:c>
      <x:c r="B650" t="str">
        <x:v>Šakotis</x:v>
      </x:c>
      <x:c r="C650" t="str">
        <x:v>L346</x:v>
      </x:c>
      <x:c r="D650" t="str">
        <x:v>Ciberžolė</x:v>
      </x:c>
      <x:c r="E650" s="38" t="n">
        <x:v>0.66499468</x:v>
      </x:c>
      <x:c r="F650" t="str">
        <x:v>Cib0805</x:v>
      </x:c>
      <x:c r="G650" s="36" t="n">
        <x:v>46895</x:v>
      </x:c>
      <x:c r="H650" s="38" t="n">
        <x:v>0.66499468</x:v>
      </x:c>
      <x:c r="I650"/>
      <x:c r="J650" s="36"/>
      <x:c r="K650" s="38"/>
      <x:c r="L650"/>
      <x:c r="M650" s="36"/>
      <x:c r="N650" s="38"/>
      <x:c r="O650" s="38" t="n">
        <x:v>0.66499468</x:v>
      </x:c>
      <x:c r="P650" s="38" t="n">
        <x:v>0</x:v>
      </x:c>
      <x:c r="Q650" t="str">
        <x:v>OK</x:v>
      </x:c>
    </x:row>
    <x:row r="651">
      <x:c r="A651" s="36" t="n">
        <x:v>46254</x:v>
      </x:c>
      <x:c r="B651" t="str">
        <x:v>Šakotis</x:v>
      </x:c>
      <x:c r="C651" t="str">
        <x:v>L346</x:v>
      </x:c>
      <x:c r="D651" t="str">
        <x:v>Vanduo</x:v>
      </x:c>
      <x:c r="E651" s="38" t="n">
        <x:v>9.498248199999999</x:v>
      </x:c>
      <x:c r="F651" t="str">
        <x:v>Netaikoma</x:v>
      </x:c>
      <x:c r="G651" s="36"/>
      <x:c r="H651" s="38" t="n">
        <x:v>9.498248199999999</x:v>
      </x:c>
      <x:c r="I651"/>
      <x:c r="J651" s="36"/>
      <x:c r="K651" s="38"/>
      <x:c r="L651"/>
      <x:c r="M651" s="36"/>
      <x:c r="N651" s="38"/>
      <x:c r="O651" s="38" t="n">
        <x:v>9.498248199999999</x:v>
      </x:c>
      <x:c r="P651" s="38" t="n">
        <x:v>0</x:v>
      </x:c>
      <x:c r="Q651" t="str">
        <x:v>OK</x:v>
      </x:c>
    </x:row>
    <x:row r="652">
      <x:c r="A652" s="36" t="n">
        <x:v>46254</x:v>
      </x:c>
      <x:c r="B652" t="str">
        <x:v>Trapus šakotis</x:v>
      </x:c>
      <x:c r="C652" t="str">
        <x:v>L346</x:v>
      </x:c>
      <x:c r="D652" t="str">
        <x:v>Miltai</x:v>
      </x:c>
      <x:c r="E652" s="38" t="n">
        <x:v>39.9999936</x:v>
      </x:c>
      <x:c r="F652" t="str">
        <x:v>Mil0812</x:v>
      </x:c>
      <x:c r="G652" s="36" t="n">
        <x:v>46589</x:v>
      </x:c>
      <x:c r="H652" s="38" t="n">
        <x:v>39.9999936</x:v>
      </x:c>
      <x:c r="I652"/>
      <x:c r="J652" s="36"/>
      <x:c r="K652" s="38"/>
      <x:c r="L652"/>
      <x:c r="M652" s="36"/>
      <x:c r="N652" s="38"/>
      <x:c r="O652" s="38" t="n">
        <x:v>39.9999936</x:v>
      </x:c>
      <x:c r="P652" s="38" t="n">
        <x:v>0</x:v>
      </x:c>
      <x:c r="Q652" t="str">
        <x:v>OK</x:v>
      </x:c>
    </x:row>
    <x:row r="653">
      <x:c r="A653" s="36" t="n">
        <x:v>46254</x:v>
      </x:c>
      <x:c r="B653" t="str">
        <x:v>Trapus šakotis</x:v>
      </x:c>
      <x:c r="C653" t="str">
        <x:v>L346</x:v>
      </x:c>
      <x:c r="D653" t="str">
        <x:v>Grietinės mišinys</x:v>
      </x:c>
      <x:c r="E653" s="38" t="n">
        <x:v>28.79999696</x:v>
      </x:c>
      <x:c r="F653" t="str">
        <x:v>Gr0817</x:v>
      </x:c>
      <x:c r="G653" s="36" t="n">
        <x:v>46258</x:v>
      </x:c>
      <x:c r="H653" s="38" t="n">
        <x:v>28.79999696</x:v>
      </x:c>
      <x:c r="I653"/>
      <x:c r="J653" s="36"/>
      <x:c r="K653" s="38"/>
      <x:c r="L653"/>
      <x:c r="M653" s="36"/>
      <x:c r="N653" s="38"/>
      <x:c r="O653" s="38" t="n">
        <x:v>28.79999696</x:v>
      </x:c>
      <x:c r="P653" s="38" t="n">
        <x:v>0</x:v>
      </x:c>
      <x:c r="Q653" t="str">
        <x:v>OK</x:v>
      </x:c>
    </x:row>
    <x:row r="654">
      <x:c r="A654" s="36" t="n">
        <x:v>46254</x:v>
      </x:c>
      <x:c r="B654" t="str">
        <x:v>Trapus šakotis</x:v>
      </x:c>
      <x:c r="C654" t="str">
        <x:v>L346</x:v>
      </x:c>
      <x:c r="D654" t="str">
        <x:v>Kiaušiniai</x:v>
      </x:c>
      <x:c r="E654" s="38" t="n">
        <x:v>39.9999936</x:v>
      </x:c>
      <x:c r="F654" t="str">
        <x:v>K0810</x:v>
      </x:c>
      <x:c r="G654" s="36" t="n">
        <x:v>46264</x:v>
      </x:c>
      <x:c r="H654" s="38" t="n">
        <x:v>39.9999936</x:v>
      </x:c>
      <x:c r="I654"/>
      <x:c r="J654" s="36"/>
      <x:c r="K654" s="38"/>
      <x:c r="L654"/>
      <x:c r="M654" s="36"/>
      <x:c r="N654" s="38"/>
      <x:c r="O654" s="38" t="n">
        <x:v>39.9999936</x:v>
      </x:c>
      <x:c r="P654" s="38" t="n">
        <x:v>0</x:v>
      </x:c>
      <x:c r="Q654" t="str">
        <x:v>OK</x:v>
      </x:c>
    </x:row>
    <x:row r="655">
      <x:c r="A655" s="36" t="n">
        <x:v>46254</x:v>
      </x:c>
      <x:c r="B655" t="str">
        <x:v>Trapus šakotis</x:v>
      </x:c>
      <x:c r="C655" t="str">
        <x:v>L346</x:v>
      </x:c>
      <x:c r="D655" t="str">
        <x:v>Cukrus</x:v>
      </x:c>
      <x:c r="E655" s="38" t="n">
        <x:v>23.999996160000002</x:v>
      </x:c>
      <x:c r="F655" t="str">
        <x:v>Cuk0812</x:v>
      </x:c>
      <x:c r="G655" s="36" t="n">
        <x:v>46388</x:v>
      </x:c>
      <x:c r="H655" s="38" t="n">
        <x:v>23.999996160000002</x:v>
      </x:c>
      <x:c r="I655"/>
      <x:c r="J655" s="36"/>
      <x:c r="K655" s="38"/>
      <x:c r="L655"/>
      <x:c r="M655" s="36"/>
      <x:c r="N655" s="38"/>
      <x:c r="O655" s="38" t="n">
        <x:v>23.999996160000002</x:v>
      </x:c>
      <x:c r="P655" s="38" t="n">
        <x:v>0</x:v>
      </x:c>
      <x:c r="Q655" t="str">
        <x:v>OK</x:v>
      </x:c>
    </x:row>
    <x:row r="656">
      <x:c r="A656" s="36" t="n">
        <x:v>46254</x:v>
      </x:c>
      <x:c r="B656" t="str">
        <x:v>Trapus šakotis</x:v>
      </x:c>
      <x:c r="C656" t="str">
        <x:v>L346</x:v>
      </x:c>
      <x:c r="D656" t="str">
        <x:v>Margarinas trapiam "IEVA"</x:v>
      </x:c>
      <x:c r="E656" s="38" t="n">
        <x:v>28.319961600000003</x:v>
      </x:c>
      <x:c r="F656" t="str">
        <x:v>MarI0730</x:v>
      </x:c>
      <x:c r="G656" s="36" t="n">
        <x:v>46401</x:v>
      </x:c>
      <x:c r="H656" s="38" t="n">
        <x:v>28.319961600000003</x:v>
      </x:c>
      <x:c r="I656"/>
      <x:c r="J656" s="36"/>
      <x:c r="K656" s="38"/>
      <x:c r="L656"/>
      <x:c r="M656" s="36"/>
      <x:c r="N656" s="38"/>
      <x:c r="O656" s="38" t="n">
        <x:v>28.319961600000003</x:v>
      </x:c>
      <x:c r="P656" s="38" t="n">
        <x:v>0</x:v>
      </x:c>
      <x:c r="Q656" t="str">
        <x:v>OK</x:v>
      </x:c>
    </x:row>
    <x:row r="657">
      <x:c r="A657" s="36" t="n">
        <x:v>46254</x:v>
      </x:c>
      <x:c r="B657" t="str">
        <x:v>Trapus šakotis</x:v>
      </x:c>
      <x:c r="C657" t="str">
        <x:v>L346</x:v>
      </x:c>
      <x:c r="D657"/>
      <x:c r="E657" s="38"/>
      <x:c r="F657"/>
      <x:c r="G657" s="36"/>
      <x:c r="H657" s="38"/>
      <x:c r="I657"/>
      <x:c r="J657" s="36"/>
      <x:c r="K657" s="38"/>
      <x:c r="L657"/>
      <x:c r="M657" s="36"/>
      <x:c r="N657" s="38"/>
      <x:c r="O657" s="38"/>
      <x:c r="P657" s="38"/>
      <x:c r="Q657"/>
    </x:row>
    <x:row r="658">
      <x:c r="A658" s="36" t="n">
        <x:v>46254</x:v>
      </x:c>
      <x:c r="B658" t="str">
        <x:v>Trapus šakotis</x:v>
      </x:c>
      <x:c r="C658" t="str">
        <x:v>L346</x:v>
      </x:c>
      <x:c r="D658"/>
      <x:c r="E658" s="38"/>
      <x:c r="F658"/>
      <x:c r="G658" s="36"/>
      <x:c r="H658" s="38"/>
      <x:c r="I658"/>
      <x:c r="J658" s="36"/>
      <x:c r="K658" s="38"/>
      <x:c r="L658"/>
      <x:c r="M658" s="36"/>
      <x:c r="N658" s="38"/>
      <x:c r="O658" s="38"/>
      <x:c r="P658" s="38"/>
      <x:c r="Q658"/>
    </x:row>
    <x:row r="659">
      <x:c r="A659" s="36" t="n">
        <x:v>46254</x:v>
      </x:c>
      <x:c r="B659" t="str">
        <x:v>Trapus šakotis</x:v>
      </x:c>
      <x:c r="C659" t="str">
        <x:v>L346</x:v>
      </x:c>
      <x:c r="D659"/>
      <x:c r="E659" s="38"/>
      <x:c r="F659"/>
      <x:c r="G659" s="36"/>
      <x:c r="H659" s="38"/>
      <x:c r="I659"/>
      <x:c r="J659" s="36"/>
      <x:c r="K659" s="38"/>
      <x:c r="L659"/>
      <x:c r="M659" s="36"/>
      <x:c r="N659" s="38"/>
      <x:c r="O659" s="38"/>
      <x:c r="P659" s="38"/>
      <x:c r="Q659"/>
    </x:row>
    <x:row r="660">
      <x:c r="A660" s="36" t="n">
        <x:v>46255</x:v>
      </x:c>
      <x:c r="B660" t="str">
        <x:v>Šakotis</x:v>
      </x:c>
      <x:c r="C660" t="str">
        <x:v>L346</x:v>
      </x:c>
      <x:c r="D660" t="str">
        <x:v>Miltai</x:v>
      </x:c>
      <x:c r="E660" s="38" t="n">
        <x:v>84.399986496</x:v>
      </x:c>
      <x:c r="F660" t="str">
        <x:v>Mil0812</x:v>
      </x:c>
      <x:c r="G660" s="36" t="n">
        <x:v>46589</x:v>
      </x:c>
      <x:c r="H660" s="38" t="n">
        <x:v>84.399986496</x:v>
      </x:c>
      <x:c r="I660"/>
      <x:c r="J660" s="36"/>
      <x:c r="K660" s="38"/>
      <x:c r="L660"/>
      <x:c r="M660" s="36"/>
      <x:c r="N660" s="38"/>
      <x:c r="O660" s="38" t="n">
        <x:v>84.399986496</x:v>
      </x:c>
      <x:c r="P660" s="38" t="n">
        <x:v>0</x:v>
      </x:c>
      <x:c r="Q660" t="str">
        <x:v>OK</x:v>
      </x:c>
    </x:row>
    <x:row r="661">
      <x:c r="A661" s="36" t="n">
        <x:v>46255</x:v>
      </x:c>
      <x:c r="B661" t="str">
        <x:v>Šakotis</x:v>
      </x:c>
      <x:c r="C661" t="str">
        <x:v>L346</x:v>
      </x:c>
      <x:c r="D661" t="str">
        <x:v>Pienas</x:v>
      </x:c>
      <x:c r="E661" s="38" t="n">
        <x:v>31.649994936000002</x:v>
      </x:c>
      <x:c r="F661" t="str">
        <x:v>P0819</x:v>
      </x:c>
      <x:c r="G661" s="36" t="n">
        <x:v>46259</x:v>
      </x:c>
      <x:c r="H661" s="38" t="n">
        <x:v>31.649994936000002</x:v>
      </x:c>
      <x:c r="I661"/>
      <x:c r="J661" s="36"/>
      <x:c r="K661" s="38"/>
      <x:c r="L661"/>
      <x:c r="M661" s="36"/>
      <x:c r="N661" s="38"/>
      <x:c r="O661" s="38" t="n">
        <x:v>31.649994936000002</x:v>
      </x:c>
      <x:c r="P661" s="38" t="n">
        <x:v>0</x:v>
      </x:c>
      <x:c r="Q661" t="str">
        <x:v>OK</x:v>
      </x:c>
    </x:row>
    <x:row r="662">
      <x:c r="A662" s="36" t="n">
        <x:v>46255</x:v>
      </x:c>
      <x:c r="B662" t="str">
        <x:v>Šakotis</x:v>
      </x:c>
      <x:c r="C662" t="str">
        <x:v>L346</x:v>
      </x:c>
      <x:c r="D662" t="str">
        <x:v>Kiaušiniai</x:v>
      </x:c>
      <x:c r="E662" s="38" t="n">
        <x:v>116.04989871999999</x:v>
      </x:c>
      <x:c r="F662" t="str">
        <x:v>K0810</x:v>
      </x:c>
      <x:c r="G662" s="36" t="n">
        <x:v>46264</x:v>
      </x:c>
      <x:c r="H662" s="38" t="n">
        <x:v>116.04989871999999</x:v>
      </x:c>
      <x:c r="I662"/>
      <x:c r="J662" s="36"/>
      <x:c r="K662" s="38"/>
      <x:c r="L662"/>
      <x:c r="M662" s="36"/>
      <x:c r="N662" s="38"/>
      <x:c r="O662" s="38" t="n">
        <x:v>116.04989871999999</x:v>
      </x:c>
      <x:c r="P662" s="38" t="n">
        <x:v>0</x:v>
      </x:c>
      <x:c r="Q662" t="str">
        <x:v>OK</x:v>
      </x:c>
    </x:row>
    <x:row r="663">
      <x:c r="A663" s="36" t="n">
        <x:v>46255</x:v>
      </x:c>
      <x:c r="B663" t="str">
        <x:v>Šakotis</x:v>
      </x:c>
      <x:c r="C663" t="str">
        <x:v>L346</x:v>
      </x:c>
      <x:c r="D663" t="str">
        <x:v>Cukrus</x:v>
      </x:c>
      <x:c r="E663" s="38" t="n">
        <x:v>63.299989872000005</x:v>
      </x:c>
      <x:c r="F663" t="str">
        <x:v>Cuk0812</x:v>
      </x:c>
      <x:c r="G663" s="36" t="n">
        <x:v>46388</x:v>
      </x:c>
      <x:c r="H663" s="38" t="n">
        <x:v>63.299989872000005</x:v>
      </x:c>
      <x:c r="I663"/>
      <x:c r="J663" s="36"/>
      <x:c r="K663" s="38"/>
      <x:c r="L663"/>
      <x:c r="M663" s="36"/>
      <x:c r="N663" s="38"/>
      <x:c r="O663" s="38" t="n">
        <x:v>63.299989872000005</x:v>
      </x:c>
      <x:c r="P663" s="38" t="n">
        <x:v>0</x:v>
      </x:c>
      <x:c r="Q663" t="str">
        <x:v>OK</x:v>
      </x:c>
    </x:row>
    <x:row r="664">
      <x:c r="A664" s="36" t="n">
        <x:v>46255</x:v>
      </x:c>
      <x:c r="B664" t="str">
        <x:v>Šakotis</x:v>
      </x:c>
      <x:c r="C664" t="str">
        <x:v>L346</x:v>
      </x:c>
      <x:c r="D664" t="str">
        <x:v>Margarinas Šakočiui "Alvas"</x:v>
      </x:c>
      <x:c r="E664" s="38" t="n">
        <x:v>63.299989872000005</x:v>
      </x:c>
      <x:c r="F664" t="str">
        <x:v>MarA0730</x:v>
      </x:c>
      <x:c r="G664" s="36" t="n">
        <x:v>46322</x:v>
      </x:c>
      <x:c r="H664" s="38" t="n">
        <x:v>63.299989872000005</x:v>
      </x:c>
      <x:c r="I664"/>
      <x:c r="J664" s="36"/>
      <x:c r="K664" s="38"/>
      <x:c r="L664"/>
      <x:c r="M664" s="36"/>
      <x:c r="N664" s="38"/>
      <x:c r="O664" s="38" t="n">
        <x:v>63.299989872000005</x:v>
      </x:c>
      <x:c r="P664" s="38" t="n">
        <x:v>0</x:v>
      </x:c>
      <x:c r="Q664" t="str">
        <x:v>OK</x:v>
      </x:c>
    </x:row>
    <x:row r="665">
      <x:c r="A665" s="36" t="n">
        <x:v>46255</x:v>
      </x:c>
      <x:c r="B665" t="str">
        <x:v>Šakotis</x:v>
      </x:c>
      <x:c r="C665" t="str">
        <x:v>L346</x:v>
      </x:c>
      <x:c r="D665" t="str">
        <x:v>Kvapnioji medžiaga</x:v>
      </x:c>
      <x:c r="E665" s="38" t="n">
        <x:v>0.21099831200000002</x:v>
      </x:c>
      <x:c r="F665" t="str">
        <x:v>Kvp0630</x:v>
      </x:c>
      <x:c r="G665" s="36" t="n">
        <x:v>46388</x:v>
      </x:c>
      <x:c r="H665" s="38" t="n">
        <x:v>0.21099831200000002</x:v>
      </x:c>
      <x:c r="I665"/>
      <x:c r="J665" s="36"/>
      <x:c r="K665" s="38"/>
      <x:c r="L665"/>
      <x:c r="M665" s="36"/>
      <x:c r="N665" s="38"/>
      <x:c r="O665" s="38" t="n">
        <x:v>0.21099831200000002</x:v>
      </x:c>
      <x:c r="P665" s="38" t="n">
        <x:v>0</x:v>
      </x:c>
      <x:c r="Q665" t="str">
        <x:v>OK</x:v>
      </x:c>
    </x:row>
    <x:row r="666">
      <x:c r="A666" s="36" t="n">
        <x:v>46255</x:v>
      </x:c>
      <x:c r="B666" t="str">
        <x:v>Šakotis</x:v>
      </x:c>
      <x:c r="C666" t="str">
        <x:v>L346</x:v>
      </x:c>
      <x:c r="D666" t="str">
        <x:v>Ciberžolė</x:v>
      </x:c>
      <x:c r="E666" s="38" t="n">
        <x:v>0.738494092</x:v>
      </x:c>
      <x:c r="F666" t="str">
        <x:v>Cib0805</x:v>
      </x:c>
      <x:c r="G666" s="36" t="n">
        <x:v>46895</x:v>
      </x:c>
      <x:c r="H666" s="38" t="n">
        <x:v>0.738494092</x:v>
      </x:c>
      <x:c r="I666"/>
      <x:c r="J666" s="36"/>
      <x:c r="K666" s="38"/>
      <x:c r="L666"/>
      <x:c r="M666" s="36"/>
      <x:c r="N666" s="38"/>
      <x:c r="O666" s="38" t="n">
        <x:v>0.738494092</x:v>
      </x:c>
      <x:c r="P666" s="38" t="n">
        <x:v>0</x:v>
      </x:c>
      <x:c r="Q666" t="str">
        <x:v>OK</x:v>
      </x:c>
    </x:row>
    <x:row r="667">
      <x:c r="A667" s="36" t="n">
        <x:v>46255</x:v>
      </x:c>
      <x:c r="B667" t="str">
        <x:v>Šakotis</x:v>
      </x:c>
      <x:c r="C667" t="str">
        <x:v>L346</x:v>
      </x:c>
      <x:c r="D667" t="str">
        <x:v>Vanduo</x:v>
      </x:c>
      <x:c r="E667" s="38" t="n">
        <x:v>10.54805458</x:v>
      </x:c>
      <x:c r="F667" t="str">
        <x:v>Netaikoma</x:v>
      </x:c>
      <x:c r="G667" s="36"/>
      <x:c r="H667" s="38" t="n">
        <x:v>10.54805458</x:v>
      </x:c>
      <x:c r="I667"/>
      <x:c r="J667" s="36"/>
      <x:c r="K667" s="38"/>
      <x:c r="L667"/>
      <x:c r="M667" s="36"/>
      <x:c r="N667" s="38"/>
      <x:c r="O667" s="38" t="n">
        <x:v>10.54805458</x:v>
      </x:c>
      <x:c r="P667" s="38" t="n">
        <x:v>0</x:v>
      </x:c>
      <x:c r="Q667" t="str">
        <x:v>OK</x:v>
      </x:c>
    </x:row>
    <x:row r="668">
      <x:c r="A668" s="36" t="n">
        <x:v>46255</x:v>
      </x:c>
      <x:c r="B668" t="str">
        <x:v>Trapus šakotis</x:v>
      </x:c>
      <x:c r="C668" t="str">
        <x:v>L346</x:v>
      </x:c>
      <x:c r="D668" t="str">
        <x:v>Miltai</x:v>
      </x:c>
      <x:c r="E668" s="38" t="n">
        <x:v>39.9999936</x:v>
      </x:c>
      <x:c r="F668" t="str">
        <x:v>Mil0812</x:v>
      </x:c>
      <x:c r="G668" s="36" t="n">
        <x:v>46589</x:v>
      </x:c>
      <x:c r="H668" s="38" t="n">
        <x:v>39.9999936</x:v>
      </x:c>
      <x:c r="I668"/>
      <x:c r="J668" s="36"/>
      <x:c r="K668" s="38"/>
      <x:c r="L668"/>
      <x:c r="M668" s="36"/>
      <x:c r="N668" s="38"/>
      <x:c r="O668" s="38" t="n">
        <x:v>39.9999936</x:v>
      </x:c>
      <x:c r="P668" s="38" t="n">
        <x:v>0</x:v>
      </x:c>
      <x:c r="Q668" t="str">
        <x:v>OK</x:v>
      </x:c>
    </x:row>
    <x:row r="669">
      <x:c r="A669" s="36" t="n">
        <x:v>46255</x:v>
      </x:c>
      <x:c r="B669" t="str">
        <x:v>Trapus šakotis</x:v>
      </x:c>
      <x:c r="C669" t="str">
        <x:v>L346</x:v>
      </x:c>
      <x:c r="D669" t="str">
        <x:v>Grietinės mišinys</x:v>
      </x:c>
      <x:c r="E669" s="38" t="n">
        <x:v>28.79999696</x:v>
      </x:c>
      <x:c r="F669" t="str">
        <x:v>Gr0817</x:v>
      </x:c>
      <x:c r="G669" s="36" t="n">
        <x:v>46258</x:v>
      </x:c>
      <x:c r="H669" s="38" t="n">
        <x:v>28.79999696</x:v>
      </x:c>
      <x:c r="I669"/>
      <x:c r="J669" s="36"/>
      <x:c r="K669" s="38"/>
      <x:c r="L669"/>
      <x:c r="M669" s="36"/>
      <x:c r="N669" s="38"/>
      <x:c r="O669" s="38" t="n">
        <x:v>28.79999696</x:v>
      </x:c>
      <x:c r="P669" s="38" t="n">
        <x:v>0</x:v>
      </x:c>
      <x:c r="Q669" t="str">
        <x:v>OK</x:v>
      </x:c>
    </x:row>
    <x:row r="670">
      <x:c r="A670" s="36" t="n">
        <x:v>46255</x:v>
      </x:c>
      <x:c r="B670" t="str">
        <x:v>Trapus šakotis</x:v>
      </x:c>
      <x:c r="C670" t="str">
        <x:v>L346</x:v>
      </x:c>
      <x:c r="D670" t="str">
        <x:v>Kiaušiniai</x:v>
      </x:c>
      <x:c r="E670" s="38" t="n">
        <x:v>39.9999936</x:v>
      </x:c>
      <x:c r="F670" t="str">
        <x:v>K0810</x:v>
      </x:c>
      <x:c r="G670" s="36" t="n">
        <x:v>46264</x:v>
      </x:c>
      <x:c r="H670" s="38" t="n">
        <x:v>39.9999936</x:v>
      </x:c>
      <x:c r="I670"/>
      <x:c r="J670" s="36"/>
      <x:c r="K670" s="38"/>
      <x:c r="L670"/>
      <x:c r="M670" s="36"/>
      <x:c r="N670" s="38"/>
      <x:c r="O670" s="38" t="n">
        <x:v>39.9999936</x:v>
      </x:c>
      <x:c r="P670" s="38" t="n">
        <x:v>0</x:v>
      </x:c>
      <x:c r="Q670" t="str">
        <x:v>OK</x:v>
      </x:c>
    </x:row>
    <x:row r="671">
      <x:c r="A671" s="36" t="n">
        <x:v>46255</x:v>
      </x:c>
      <x:c r="B671" t="str">
        <x:v>Trapus šakotis</x:v>
      </x:c>
      <x:c r="C671" t="str">
        <x:v>L346</x:v>
      </x:c>
      <x:c r="D671" t="str">
        <x:v>Cukrus</x:v>
      </x:c>
      <x:c r="E671" s="38" t="n">
        <x:v>23.999996160000002</x:v>
      </x:c>
      <x:c r="F671" t="str">
        <x:v>Cuk0812</x:v>
      </x:c>
      <x:c r="G671" s="36" t="n">
        <x:v>46388</x:v>
      </x:c>
      <x:c r="H671" s="38" t="n">
        <x:v>23.999996160000002</x:v>
      </x:c>
      <x:c r="I671"/>
      <x:c r="J671" s="36"/>
      <x:c r="K671" s="38"/>
      <x:c r="L671"/>
      <x:c r="M671" s="36"/>
      <x:c r="N671" s="38"/>
      <x:c r="O671" s="38" t="n">
        <x:v>23.999996160000002</x:v>
      </x:c>
      <x:c r="P671" s="38" t="n">
        <x:v>0</x:v>
      </x:c>
      <x:c r="Q671" t="str">
        <x:v>OK</x:v>
      </x:c>
    </x:row>
    <x:row r="672">
      <x:c r="A672" s="36" t="n">
        <x:v>46255</x:v>
      </x:c>
      <x:c r="B672" t="str">
        <x:v>Trapus šakotis</x:v>
      </x:c>
      <x:c r="C672" t="str">
        <x:v>L346</x:v>
      </x:c>
      <x:c r="D672" t="str">
        <x:v>Margarinas trapiam "IEVA"</x:v>
      </x:c>
      <x:c r="E672" s="38" t="n">
        <x:v>28.319961600000003</x:v>
      </x:c>
      <x:c r="F672" t="str">
        <x:v>MarI0730</x:v>
      </x:c>
      <x:c r="G672" s="36" t="n">
        <x:v>46401</x:v>
      </x:c>
      <x:c r="H672" s="38" t="n">
        <x:v>28.319961600000003</x:v>
      </x:c>
      <x:c r="I672"/>
      <x:c r="J672" s="36"/>
      <x:c r="K672" s="38"/>
      <x:c r="L672"/>
      <x:c r="M672" s="36"/>
      <x:c r="N672" s="38"/>
      <x:c r="O672" s="38" t="n">
        <x:v>28.319961600000003</x:v>
      </x:c>
      <x:c r="P672" s="38" t="n">
        <x:v>0</x:v>
      </x:c>
      <x:c r="Q672" t="str">
        <x:v>OK</x:v>
      </x:c>
    </x:row>
    <x:row r="673">
      <x:c r="A673" s="36" t="n">
        <x:v>46255</x:v>
      </x:c>
      <x:c r="B673" t="str">
        <x:v>Trapus šakotis</x:v>
      </x:c>
      <x:c r="C673" t="str">
        <x:v>L346</x:v>
      </x:c>
      <x:c r="D673"/>
      <x:c r="E673" s="38"/>
      <x:c r="F673"/>
      <x:c r="G673" s="36"/>
      <x:c r="H673" s="38"/>
      <x:c r="I673"/>
      <x:c r="J673" s="36"/>
      <x:c r="K673" s="38"/>
      <x:c r="L673"/>
      <x:c r="M673" s="36"/>
      <x:c r="N673" s="38"/>
      <x:c r="O673" s="38"/>
      <x:c r="P673" s="38"/>
      <x:c r="Q673"/>
    </x:row>
    <x:row r="674">
      <x:c r="A674" s="36" t="n">
        <x:v>46255</x:v>
      </x:c>
      <x:c r="B674" t="str">
        <x:v>Trapus šakotis</x:v>
      </x:c>
      <x:c r="C674" t="str">
        <x:v>L346</x:v>
      </x:c>
      <x:c r="D674"/>
      <x:c r="E674" s="38"/>
      <x:c r="F674"/>
      <x:c r="G674" s="36"/>
      <x:c r="H674" s="38"/>
      <x:c r="I674"/>
      <x:c r="J674" s="36"/>
      <x:c r="K674" s="38"/>
      <x:c r="L674"/>
      <x:c r="M674" s="36"/>
      <x:c r="N674" s="38"/>
      <x:c r="O674" s="38"/>
      <x:c r="P674" s="38"/>
      <x:c r="Q674"/>
    </x:row>
    <x:row r="675">
      <x:c r="A675" s="36" t="n">
        <x:v>46255</x:v>
      </x:c>
      <x:c r="B675" t="str">
        <x:v>Trapus šakotis</x:v>
      </x:c>
      <x:c r="C675" t="str">
        <x:v>L346</x:v>
      </x:c>
      <x:c r="D675"/>
      <x:c r="E675" s="38"/>
      <x:c r="F675"/>
      <x:c r="G675" s="36"/>
      <x:c r="H675" s="38"/>
      <x:c r="I675"/>
      <x:c r="J675" s="36"/>
      <x:c r="K675" s="38"/>
      <x:c r="L675"/>
      <x:c r="M675" s="36"/>
      <x:c r="N675" s="38"/>
      <x:c r="O675" s="38"/>
      <x:c r="P675" s="38"/>
      <x:c r="Q675"/>
    </x:row>
    <x:row r="676">
      <x:c r="A676" s="36" t="n">
        <x:v>46258</x:v>
      </x:c>
      <x:c r="B676" t="str">
        <x:v>Šakotis</x:v>
      </x:c>
      <x:c r="C676" t="str">
        <x:v>L356</x:v>
      </x:c>
      <x:c r="D676" t="str">
        <x:v>Miltai</x:v>
      </x:c>
      <x:c r="E676" s="38" t="n">
        <x:v>52.399991616</x:v>
      </x:c>
      <x:c r="F676" t="str">
        <x:v>Mil0812</x:v>
      </x:c>
      <x:c r="G676" s="36" t="n">
        <x:v>46589</x:v>
      </x:c>
      <x:c r="H676" s="38" t="n">
        <x:v>52.399991616</x:v>
      </x:c>
      <x:c r="I676"/>
      <x:c r="J676" s="36"/>
      <x:c r="K676" s="38"/>
      <x:c r="L676"/>
      <x:c r="M676" s="36"/>
      <x:c r="N676" s="38"/>
      <x:c r="O676" s="38" t="n">
        <x:v>52.399991616</x:v>
      </x:c>
      <x:c r="P676" s="38" t="n">
        <x:v>0</x:v>
      </x:c>
      <x:c r="Q676" t="str">
        <x:v>OK</x:v>
      </x:c>
    </x:row>
    <x:row r="677">
      <x:c r="A677" s="36" t="n">
        <x:v>46258</x:v>
      </x:c>
      <x:c r="B677" t="str">
        <x:v>Šakotis</x:v>
      </x:c>
      <x:c r="C677" t="str">
        <x:v>L356</x:v>
      </x:c>
      <x:c r="D677" t="str">
        <x:v>Pienas</x:v>
      </x:c>
      <x:c r="E677" s="38" t="n">
        <x:v>19.649996856</x:v>
      </x:c>
      <x:c r="F677" t="str">
        <x:v>P0819</x:v>
      </x:c>
      <x:c r="G677" s="36" t="n">
        <x:v>46259</x:v>
      </x:c>
      <x:c r="H677" s="38" t="n">
        <x:v>19.649996856</x:v>
      </x:c>
      <x:c r="I677"/>
      <x:c r="J677" s="36"/>
      <x:c r="K677" s="38"/>
      <x:c r="L677"/>
      <x:c r="M677" s="36"/>
      <x:c r="N677" s="38"/>
      <x:c r="O677" s="38" t="n">
        <x:v>19.649996856</x:v>
      </x:c>
      <x:c r="P677" s="38" t="n">
        <x:v>0</x:v>
      </x:c>
      <x:c r="Q677" t="str">
        <x:v>OK</x:v>
      </x:c>
    </x:row>
    <x:row r="678">
      <x:c r="A678" s="36" t="n">
        <x:v>46258</x:v>
      </x:c>
      <x:c r="B678" t="str">
        <x:v>Šakotis</x:v>
      </x:c>
      <x:c r="C678" t="str">
        <x:v>L356</x:v>
      </x:c>
      <x:c r="D678" t="str">
        <x:v>Kiaušiniai</x:v>
      </x:c>
      <x:c r="E678" s="38" t="n">
        <x:v>72.04993712</x:v>
      </x:c>
      <x:c r="F678" t="str">
        <x:v>K0810</x:v>
      </x:c>
      <x:c r="G678" s="36" t="n">
        <x:v>46264</x:v>
      </x:c>
      <x:c r="H678" s="38" t="n">
        <x:v>72.04993712</x:v>
      </x:c>
      <x:c r="I678"/>
      <x:c r="J678" s="36"/>
      <x:c r="K678" s="38"/>
      <x:c r="L678"/>
      <x:c r="M678" s="36"/>
      <x:c r="N678" s="38"/>
      <x:c r="O678" s="38" t="n">
        <x:v>72.04993712</x:v>
      </x:c>
      <x:c r="P678" s="38" t="n">
        <x:v>0</x:v>
      </x:c>
      <x:c r="Q678" t="str">
        <x:v>OK</x:v>
      </x:c>
    </x:row>
    <x:row r="679">
      <x:c r="A679" s="36" t="n">
        <x:v>46258</x:v>
      </x:c>
      <x:c r="B679" t="str">
        <x:v>Šakotis</x:v>
      </x:c>
      <x:c r="C679" t="str">
        <x:v>L356</x:v>
      </x:c>
      <x:c r="D679" t="str">
        <x:v>Cukrus</x:v>
      </x:c>
      <x:c r="E679" s="38" t="n">
        <x:v>39.299993712</x:v>
      </x:c>
      <x:c r="F679" t="str">
        <x:v>Cuk0812</x:v>
      </x:c>
      <x:c r="G679" s="36" t="n">
        <x:v>46388</x:v>
      </x:c>
      <x:c r="H679" s="38" t="n">
        <x:v>39.299993712</x:v>
      </x:c>
      <x:c r="I679"/>
      <x:c r="J679" s="36"/>
      <x:c r="K679" s="38"/>
      <x:c r="L679"/>
      <x:c r="M679" s="36"/>
      <x:c r="N679" s="38"/>
      <x:c r="O679" s="38" t="n">
        <x:v>39.299993712</x:v>
      </x:c>
      <x:c r="P679" s="38" t="n">
        <x:v>0</x:v>
      </x:c>
      <x:c r="Q679" t="str">
        <x:v>OK</x:v>
      </x:c>
    </x:row>
    <x:row r="680">
      <x:c r="A680" s="36" t="n">
        <x:v>46258</x:v>
      </x:c>
      <x:c r="B680" t="str">
        <x:v>Šakotis</x:v>
      </x:c>
      <x:c r="C680" t="str">
        <x:v>L356</x:v>
      </x:c>
      <x:c r="D680" t="str">
        <x:v>Margarinas Šakočiui "Alvas"</x:v>
      </x:c>
      <x:c r="E680" s="38" t="n">
        <x:v>39.299993712</x:v>
      </x:c>
      <x:c r="F680" t="str">
        <x:v>MarA0730</x:v>
      </x:c>
      <x:c r="G680" s="36" t="n">
        <x:v>46322</x:v>
      </x:c>
      <x:c r="H680" s="38" t="n">
        <x:v>39.299993712</x:v>
      </x:c>
      <x:c r="I680"/>
      <x:c r="J680" s="36"/>
      <x:c r="K680" s="38"/>
      <x:c r="L680"/>
      <x:c r="M680" s="36"/>
      <x:c r="N680" s="38"/>
      <x:c r="O680" s="38" t="n">
        <x:v>39.299993712</x:v>
      </x:c>
      <x:c r="P680" s="38" t="n">
        <x:v>0</x:v>
      </x:c>
      <x:c r="Q680" t="str">
        <x:v>OK</x:v>
      </x:c>
    </x:row>
    <x:row r="681">
      <x:c r="A681" s="36" t="n">
        <x:v>46258</x:v>
      </x:c>
      <x:c r="B681" t="str">
        <x:v>Šakotis</x:v>
      </x:c>
      <x:c r="C681" t="str">
        <x:v>L356</x:v>
      </x:c>
      <x:c r="D681" t="str">
        <x:v>Kvapnioji medžiaga</x:v>
      </x:c>
      <x:c r="E681" s="38" t="n">
        <x:v>0.130998952</x:v>
      </x:c>
      <x:c r="F681" t="str">
        <x:v>Kvp0630</x:v>
      </x:c>
      <x:c r="G681" s="36" t="n">
        <x:v>46388</x:v>
      </x:c>
      <x:c r="H681" s="38" t="n">
        <x:v>0.130998952</x:v>
      </x:c>
      <x:c r="I681"/>
      <x:c r="J681" s="36"/>
      <x:c r="K681" s="38"/>
      <x:c r="L681"/>
      <x:c r="M681" s="36"/>
      <x:c r="N681" s="38"/>
      <x:c r="O681" s="38" t="n">
        <x:v>0.130998952</x:v>
      </x:c>
      <x:c r="P681" s="38" t="n">
        <x:v>0</x:v>
      </x:c>
      <x:c r="Q681" t="str">
        <x:v>OK</x:v>
      </x:c>
    </x:row>
    <x:row r="682">
      <x:c r="A682" s="36" t="n">
        <x:v>46258</x:v>
      </x:c>
      <x:c r="B682" t="str">
        <x:v>Šakotis</x:v>
      </x:c>
      <x:c r="C682" t="str">
        <x:v>L356</x:v>
      </x:c>
      <x:c r="D682" t="str">
        <x:v>Ciberžolė</x:v>
      </x:c>
      <x:c r="E682" s="38" t="n">
        <x:v>0.458496332</x:v>
      </x:c>
      <x:c r="F682" t="str">
        <x:v>Cib0805</x:v>
      </x:c>
      <x:c r="G682" s="36" t="n">
        <x:v>46895</x:v>
      </x:c>
      <x:c r="H682" s="38" t="n">
        <x:v>0.458496332</x:v>
      </x:c>
      <x:c r="I682"/>
      <x:c r="J682" s="36"/>
      <x:c r="K682" s="38"/>
      <x:c r="L682"/>
      <x:c r="M682" s="36"/>
      <x:c r="N682" s="38"/>
      <x:c r="O682" s="38" t="n">
        <x:v>0.458496332</x:v>
      </x:c>
      <x:c r="P682" s="38" t="n">
        <x:v>0</x:v>
      </x:c>
      <x:c r="Q682" t="str">
        <x:v>OK</x:v>
      </x:c>
    </x:row>
    <x:row r="683">
      <x:c r="A683" s="36" t="n">
        <x:v>46258</x:v>
      </x:c>
      <x:c r="B683" t="str">
        <x:v>Šakotis</x:v>
      </x:c>
      <x:c r="C683" t="str">
        <x:v>L356</x:v>
      </x:c>
      <x:c r="D683" t="str">
        <x:v>Vanduo</x:v>
      </x:c>
      <x:c r="E683" s="38" t="n">
        <x:v>6.5487921799999995</x:v>
      </x:c>
      <x:c r="F683" t="str">
        <x:v>Netaikoma</x:v>
      </x:c>
      <x:c r="G683" s="36"/>
      <x:c r="H683" s="38" t="n">
        <x:v>6.5487921799999995</x:v>
      </x:c>
      <x:c r="I683"/>
      <x:c r="J683" s="36"/>
      <x:c r="K683" s="38"/>
      <x:c r="L683"/>
      <x:c r="M683" s="36"/>
      <x:c r="N683" s="38"/>
      <x:c r="O683" s="38" t="n">
        <x:v>6.5487921799999995</x:v>
      </x:c>
      <x:c r="P683" s="38" t="n">
        <x:v>0</x:v>
      </x:c>
      <x:c r="Q683" t="str">
        <x:v>OK</x:v>
      </x:c>
    </x:row>
    <x:row r="684">
      <x:c r="A684" s="36" t="n">
        <x:v>46258</x:v>
      </x:c>
      <x:c r="B684" t="str">
        <x:v>Trapus šakotis</x:v>
      </x:c>
      <x:c r="C684" t="str">
        <x:v>L356</x:v>
      </x:c>
      <x:c r="D684" t="str">
        <x:v>Miltai</x:v>
      </x:c>
      <x:c r="E684" s="38" t="n">
        <x:v>39.9999936</x:v>
      </x:c>
      <x:c r="F684" t="str">
        <x:v>Mil0812</x:v>
      </x:c>
      <x:c r="G684" s="36" t="n">
        <x:v>46589</x:v>
      </x:c>
      <x:c r="H684" s="38" t="n">
        <x:v>26.409191039999314</x:v>
      </x:c>
      <x:c r="I684" t="str">
        <x:v>Mil0819</x:v>
      </x:c>
      <x:c r="J684" s="36" t="n">
        <x:v>46602</x:v>
      </x:c>
      <x:c r="K684" s="38" t="n">
        <x:v>13.59080256000069</x:v>
      </x:c>
      <x:c r="L684"/>
      <x:c r="M684" s="36"/>
      <x:c r="N684" s="38"/>
      <x:c r="O684" s="38" t="n">
        <x:v>39.9999936</x:v>
      </x:c>
      <x:c r="P684" s="38" t="n">
        <x:v>0</x:v>
      </x:c>
      <x:c r="Q684" t="str">
        <x:v>OK</x:v>
      </x:c>
    </x:row>
    <x:row r="685">
      <x:c r="A685" s="36" t="n">
        <x:v>46258</x:v>
      </x:c>
      <x:c r="B685" t="str">
        <x:v>Trapus šakotis</x:v>
      </x:c>
      <x:c r="C685" t="str">
        <x:v>L356</x:v>
      </x:c>
      <x:c r="D685" t="str">
        <x:v>Grietinės mišinys</x:v>
      </x:c>
      <x:c r="E685" s="38" t="n">
        <x:v>28.79999696</x:v>
      </x:c>
      <x:c r="F685" t="str">
        <x:v>Gr0817</x:v>
      </x:c>
      <x:c r="G685" s="36" t="n">
        <x:v>46258</x:v>
      </x:c>
      <x:c r="H685" s="38" t="n">
        <x:v>28.79999696</x:v>
      </x:c>
      <x:c r="I685"/>
      <x:c r="J685" s="36"/>
      <x:c r="K685" s="38"/>
      <x:c r="L685"/>
      <x:c r="M685" s="36"/>
      <x:c r="N685" s="38"/>
      <x:c r="O685" s="38" t="n">
        <x:v>28.79999696</x:v>
      </x:c>
      <x:c r="P685" s="38" t="n">
        <x:v>0</x:v>
      </x:c>
      <x:c r="Q685" t="str">
        <x:v>OK</x:v>
      </x:c>
    </x:row>
    <x:row r="686">
      <x:c r="A686" s="36" t="n">
        <x:v>46258</x:v>
      </x:c>
      <x:c r="B686" t="str">
        <x:v>Trapus šakotis</x:v>
      </x:c>
      <x:c r="C686" t="str">
        <x:v>L356</x:v>
      </x:c>
      <x:c r="D686" t="str">
        <x:v>Kiaušiniai</x:v>
      </x:c>
      <x:c r="E686" s="38" t="n">
        <x:v>39.9999936</x:v>
      </x:c>
      <x:c r="F686" t="str">
        <x:v>K0810</x:v>
      </x:c>
      <x:c r="G686" s="36" t="n">
        <x:v>46264</x:v>
      </x:c>
      <x:c r="H686" s="38" t="n">
        <x:v>39.9999936</x:v>
      </x:c>
      <x:c r="I686"/>
      <x:c r="J686" s="36"/>
      <x:c r="K686" s="38"/>
      <x:c r="L686"/>
      <x:c r="M686" s="36"/>
      <x:c r="N686" s="38"/>
      <x:c r="O686" s="38" t="n">
        <x:v>39.9999936</x:v>
      </x:c>
      <x:c r="P686" s="38" t="n">
        <x:v>0</x:v>
      </x:c>
      <x:c r="Q686" t="str">
        <x:v>OK</x:v>
      </x:c>
    </x:row>
    <x:row r="687">
      <x:c r="A687" s="36" t="n">
        <x:v>46258</x:v>
      </x:c>
      <x:c r="B687" t="str">
        <x:v>Trapus šakotis</x:v>
      </x:c>
      <x:c r="C687" t="str">
        <x:v>L356</x:v>
      </x:c>
      <x:c r="D687" t="str">
        <x:v>Cukrus</x:v>
      </x:c>
      <x:c r="E687" s="38" t="n">
        <x:v>23.999996160000002</x:v>
      </x:c>
      <x:c r="F687" t="str">
        <x:v>Cuk0812</x:v>
      </x:c>
      <x:c r="G687" s="36" t="n">
        <x:v>46388</x:v>
      </x:c>
      <x:c r="H687" s="38" t="n">
        <x:v>23.999996160000002</x:v>
      </x:c>
      <x:c r="I687"/>
      <x:c r="J687" s="36"/>
      <x:c r="K687" s="38"/>
      <x:c r="L687"/>
      <x:c r="M687" s="36"/>
      <x:c r="N687" s="38"/>
      <x:c r="O687" s="38" t="n">
        <x:v>23.999996160000002</x:v>
      </x:c>
      <x:c r="P687" s="38" t="n">
        <x:v>0</x:v>
      </x:c>
      <x:c r="Q687" t="str">
        <x:v>OK</x:v>
      </x:c>
    </x:row>
    <x:row r="688">
      <x:c r="A688" s="36" t="n">
        <x:v>46258</x:v>
      </x:c>
      <x:c r="B688" t="str">
        <x:v>Trapus šakotis</x:v>
      </x:c>
      <x:c r="C688" t="str">
        <x:v>L356</x:v>
      </x:c>
      <x:c r="D688" t="str">
        <x:v>Margarinas trapiam "IEVA"</x:v>
      </x:c>
      <x:c r="E688" s="38" t="n">
        <x:v>28.319961600000003</x:v>
      </x:c>
      <x:c r="F688" t="str">
        <x:v>MarI0730</x:v>
      </x:c>
      <x:c r="G688" s="36" t="n">
        <x:v>46401</x:v>
      </x:c>
      <x:c r="H688" s="38" t="n">
        <x:v>28.319961600000003</x:v>
      </x:c>
      <x:c r="I688"/>
      <x:c r="J688" s="36"/>
      <x:c r="K688" s="38"/>
      <x:c r="L688"/>
      <x:c r="M688" s="36"/>
      <x:c r="N688" s="38"/>
      <x:c r="O688" s="38" t="n">
        <x:v>28.319961600000003</x:v>
      </x:c>
      <x:c r="P688" s="38" t="n">
        <x:v>0</x:v>
      </x:c>
      <x:c r="Q688" t="str">
        <x:v>OK</x:v>
      </x:c>
    </x:row>
    <x:row r="689">
      <x:c r="A689" s="36" t="n">
        <x:v>46258</x:v>
      </x:c>
      <x:c r="B689" t="str">
        <x:v>Trapus šakotis</x:v>
      </x:c>
      <x:c r="C689" t="str">
        <x:v>L356</x:v>
      </x:c>
      <x:c r="D689"/>
      <x:c r="E689" s="38"/>
      <x:c r="F689"/>
      <x:c r="G689" s="36"/>
      <x:c r="H689" s="38"/>
      <x:c r="I689"/>
      <x:c r="J689" s="36"/>
      <x:c r="K689" s="38"/>
      <x:c r="L689"/>
      <x:c r="M689" s="36"/>
      <x:c r="N689" s="38"/>
      <x:c r="O689" s="38"/>
      <x:c r="P689" s="38"/>
      <x:c r="Q689"/>
    </x:row>
    <x:row r="690">
      <x:c r="A690" s="36" t="n">
        <x:v>46258</x:v>
      </x:c>
      <x:c r="B690" t="str">
        <x:v>Trapus šakotis</x:v>
      </x:c>
      <x:c r="C690" t="str">
        <x:v>L356</x:v>
      </x:c>
      <x:c r="D690"/>
      <x:c r="E690" s="38"/>
      <x:c r="F690"/>
      <x:c r="G690" s="36"/>
      <x:c r="H690" s="38"/>
      <x:c r="I690"/>
      <x:c r="J690" s="36"/>
      <x:c r="K690" s="38"/>
      <x:c r="L690"/>
      <x:c r="M690" s="36"/>
      <x:c r="N690" s="38"/>
      <x:c r="O690" s="38"/>
      <x:c r="P690" s="38"/>
      <x:c r="Q690"/>
    </x:row>
    <x:row r="691">
      <x:c r="A691" s="36" t="n">
        <x:v>46258</x:v>
      </x:c>
      <x:c r="B691" t="str">
        <x:v>Trapus šakotis</x:v>
      </x:c>
      <x:c r="C691" t="str">
        <x:v>L356</x:v>
      </x:c>
      <x:c r="D691"/>
      <x:c r="E691" s="38"/>
      <x:c r="F691"/>
      <x:c r="G691" s="36"/>
      <x:c r="H691" s="38"/>
      <x:c r="I691"/>
      <x:c r="J691" s="36"/>
      <x:c r="K691" s="38"/>
      <x:c r="L691"/>
      <x:c r="M691" s="36"/>
      <x:c r="N691" s="38"/>
      <x:c r="O691" s="38"/>
      <x:c r="P691" s="38"/>
      <x:c r="Q691"/>
    </x:row>
    <x:row r="692">
      <x:c r="A692" s="36" t="n">
        <x:v>46259</x:v>
      </x:c>
      <x:c r="B692" t="str">
        <x:v>Šakotis</x:v>
      </x:c>
      <x:c r="C692" t="str">
        <x:v>L356</x:v>
      </x:c>
      <x:c r="D692" t="str">
        <x:v>Miltai</x:v>
      </x:c>
      <x:c r="E692" s="38" t="n">
        <x:v>97.59998438400001</x:v>
      </x:c>
      <x:c r="F692" t="str">
        <x:v>Mil0819</x:v>
      </x:c>
      <x:c r="G692" s="36" t="n">
        <x:v>46602</x:v>
      </x:c>
      <x:c r="H692" s="38" t="n">
        <x:v>97.59998438400001</x:v>
      </x:c>
      <x:c r="I692"/>
      <x:c r="J692" s="36"/>
      <x:c r="K692" s="38"/>
      <x:c r="L692"/>
      <x:c r="M692" s="36"/>
      <x:c r="N692" s="38"/>
      <x:c r="O692" s="38" t="n">
        <x:v>97.59998438400001</x:v>
      </x:c>
      <x:c r="P692" s="38" t="n">
        <x:v>0</x:v>
      </x:c>
      <x:c r="Q692" t="str">
        <x:v>OK</x:v>
      </x:c>
    </x:row>
    <x:row r="693">
      <x:c r="A693" s="36" t="n">
        <x:v>46259</x:v>
      </x:c>
      <x:c r="B693" t="str">
        <x:v>Šakotis</x:v>
      </x:c>
      <x:c r="C693" t="str">
        <x:v>L356</x:v>
      </x:c>
      <x:c r="D693" t="str">
        <x:v>Pienas</x:v>
      </x:c>
      <x:c r="E693" s="38" t="n">
        <x:v>36.599994144</x:v>
      </x:c>
      <x:c r="F693" t="str">
        <x:v>P0819</x:v>
      </x:c>
      <x:c r="G693" s="36" t="n">
        <x:v>46259</x:v>
      </x:c>
      <x:c r="H693" s="38" t="n">
        <x:v>36.599994144</x:v>
      </x:c>
      <x:c r="I693"/>
      <x:c r="J693" s="36"/>
      <x:c r="K693" s="38"/>
      <x:c r="L693"/>
      <x:c r="M693" s="36"/>
      <x:c r="N693" s="38"/>
      <x:c r="O693" s="38" t="n">
        <x:v>36.599994144</x:v>
      </x:c>
      <x:c r="P693" s="38" t="n">
        <x:v>0</x:v>
      </x:c>
      <x:c r="Q693" t="str">
        <x:v>OK</x:v>
      </x:c>
    </x:row>
    <x:row r="694">
      <x:c r="A694" s="36" t="n">
        <x:v>46259</x:v>
      </x:c>
      <x:c r="B694" t="str">
        <x:v>Šakotis</x:v>
      </x:c>
      <x:c r="C694" t="str">
        <x:v>L356</x:v>
      </x:c>
      <x:c r="D694" t="str">
        <x:v>Kiaušiniai</x:v>
      </x:c>
      <x:c r="E694" s="38" t="n">
        <x:v>134.19988288</x:v>
      </x:c>
      <x:c r="F694" t="str">
        <x:v>K0810</x:v>
      </x:c>
      <x:c r="G694" s="36" t="n">
        <x:v>46264</x:v>
      </x:c>
      <x:c r="H694" s="38" t="n">
        <x:v>134.19988288</x:v>
      </x:c>
      <x:c r="I694"/>
      <x:c r="J694" s="36"/>
      <x:c r="K694" s="38"/>
      <x:c r="L694"/>
      <x:c r="M694" s="36"/>
      <x:c r="N694" s="38"/>
      <x:c r="O694" s="38" t="n">
        <x:v>134.19988288</x:v>
      </x:c>
      <x:c r="P694" s="38" t="n">
        <x:v>0</x:v>
      </x:c>
      <x:c r="Q694" t="str">
        <x:v>OK</x:v>
      </x:c>
    </x:row>
    <x:row r="695">
      <x:c r="A695" s="36" t="n">
        <x:v>46259</x:v>
      </x:c>
      <x:c r="B695" t="str">
        <x:v>Šakotis</x:v>
      </x:c>
      <x:c r="C695" t="str">
        <x:v>L356</x:v>
      </x:c>
      <x:c r="D695" t="str">
        <x:v>Cukrus</x:v>
      </x:c>
      <x:c r="E695" s="38" t="n">
        <x:v>73.199988288</x:v>
      </x:c>
      <x:c r="F695" t="str">
        <x:v>Cuk0812</x:v>
      </x:c>
      <x:c r="G695" s="36" t="n">
        <x:v>46388</x:v>
      </x:c>
      <x:c r="H695" s="38" t="n">
        <x:v>73.199988288</x:v>
      </x:c>
      <x:c r="I695"/>
      <x:c r="J695" s="36"/>
      <x:c r="K695" s="38"/>
      <x:c r="L695"/>
      <x:c r="M695" s="36"/>
      <x:c r="N695" s="38"/>
      <x:c r="O695" s="38" t="n">
        <x:v>73.199988288</x:v>
      </x:c>
      <x:c r="P695" s="38" t="n">
        <x:v>0</x:v>
      </x:c>
      <x:c r="Q695" t="str">
        <x:v>OK</x:v>
      </x:c>
    </x:row>
    <x:row r="696">
      <x:c r="A696" s="36" t="n">
        <x:v>46259</x:v>
      </x:c>
      <x:c r="B696" t="str">
        <x:v>Šakotis</x:v>
      </x:c>
      <x:c r="C696" t="str">
        <x:v>L356</x:v>
      </x:c>
      <x:c r="D696" t="str">
        <x:v>Margarinas Šakočiui "Alvas"</x:v>
      </x:c>
      <x:c r="E696" s="38" t="n">
        <x:v>73.199988288</x:v>
      </x:c>
      <x:c r="F696" t="str">
        <x:v>MarA0730</x:v>
      </x:c>
      <x:c r="G696" s="36" t="n">
        <x:v>46322</x:v>
      </x:c>
      <x:c r="H696" s="38" t="n">
        <x:v>73.199988288</x:v>
      </x:c>
      <x:c r="I696"/>
      <x:c r="J696" s="36"/>
      <x:c r="K696" s="38"/>
      <x:c r="L696"/>
      <x:c r="M696" s="36"/>
      <x:c r="N696" s="38"/>
      <x:c r="O696" s="38" t="n">
        <x:v>73.199988288</x:v>
      </x:c>
      <x:c r="P696" s="38" t="n">
        <x:v>0</x:v>
      </x:c>
      <x:c r="Q696" t="str">
        <x:v>OK</x:v>
      </x:c>
    </x:row>
    <x:row r="697">
      <x:c r="A697" s="36" t="n">
        <x:v>46259</x:v>
      </x:c>
      <x:c r="B697" t="str">
        <x:v>Šakotis</x:v>
      </x:c>
      <x:c r="C697" t="str">
        <x:v>L356</x:v>
      </x:c>
      <x:c r="D697" t="str">
        <x:v>Kvapnioji medžiaga</x:v>
      </x:c>
      <x:c r="E697" s="38" t="n">
        <x:v>0.24399804800000002</x:v>
      </x:c>
      <x:c r="F697" t="str">
        <x:v>Kvp0630</x:v>
      </x:c>
      <x:c r="G697" s="36" t="n">
        <x:v>46388</x:v>
      </x:c>
      <x:c r="H697" s="38" t="n">
        <x:v>0.24399804800000002</x:v>
      </x:c>
      <x:c r="I697"/>
      <x:c r="J697" s="36"/>
      <x:c r="K697" s="38"/>
      <x:c r="L697"/>
      <x:c r="M697" s="36"/>
      <x:c r="N697" s="38"/>
      <x:c r="O697" s="38" t="n">
        <x:v>0.24399804800000002</x:v>
      </x:c>
      <x:c r="P697" s="38" t="n">
        <x:v>0</x:v>
      </x:c>
      <x:c r="Q697" t="str">
        <x:v>OK</x:v>
      </x:c>
    </x:row>
    <x:row r="698">
      <x:c r="A698" s="36" t="n">
        <x:v>46259</x:v>
      </x:c>
      <x:c r="B698" t="str">
        <x:v>Šakotis</x:v>
      </x:c>
      <x:c r="C698" t="str">
        <x:v>L356</x:v>
      </x:c>
      <x:c r="D698" t="str">
        <x:v>Ciberžolė</x:v>
      </x:c>
      <x:c r="E698" s="38" t="n">
        <x:v>0.853993168</x:v>
      </x:c>
      <x:c r="F698" t="str">
        <x:v>Cib0805</x:v>
      </x:c>
      <x:c r="G698" s="36" t="n">
        <x:v>46895</x:v>
      </x:c>
      <x:c r="H698" s="38" t="n">
        <x:v>0.853993168</x:v>
      </x:c>
      <x:c r="I698"/>
      <x:c r="J698" s="36"/>
      <x:c r="K698" s="38"/>
      <x:c r="L698"/>
      <x:c r="M698" s="36"/>
      <x:c r="N698" s="38"/>
      <x:c r="O698" s="38" t="n">
        <x:v>0.853993168</x:v>
      </x:c>
      <x:c r="P698" s="38" t="n">
        <x:v>0</x:v>
      </x:c>
      <x:c r="Q698" t="str">
        <x:v>OK</x:v>
      </x:c>
    </x:row>
    <x:row r="699">
      <x:c r="A699" s="36" t="n">
        <x:v>46259</x:v>
      </x:c>
      <x:c r="B699" t="str">
        <x:v>Šakotis</x:v>
      </x:c>
      <x:c r="C699" t="str">
        <x:v>L356</x:v>
      </x:c>
      <x:c r="D699" t="str">
        <x:v>Vanduo</x:v>
      </x:c>
      <x:c r="E699" s="38" t="n">
        <x:v>12.19775032</x:v>
      </x:c>
      <x:c r="F699" t="str">
        <x:v>Netaikoma</x:v>
      </x:c>
      <x:c r="G699" s="36"/>
      <x:c r="H699" s="38" t="n">
        <x:v>12.19775032</x:v>
      </x:c>
      <x:c r="I699"/>
      <x:c r="J699" s="36"/>
      <x:c r="K699" s="38"/>
      <x:c r="L699"/>
      <x:c r="M699" s="36"/>
      <x:c r="N699" s="38"/>
      <x:c r="O699" s="38" t="n">
        <x:v>12.19775032</x:v>
      </x:c>
      <x:c r="P699" s="38" t="n">
        <x:v>0</x:v>
      </x:c>
      <x:c r="Q699" t="str">
        <x:v>OK</x:v>
      </x:c>
    </x:row>
    <x:row r="700">
      <x:c r="A700" s="36" t="n">
        <x:v>46259</x:v>
      </x:c>
      <x:c r="B700" t="str">
        <x:v>Trapus šakotis</x:v>
      </x:c>
      <x:c r="C700" t="str">
        <x:v>L356</x:v>
      </x:c>
      <x:c r="D700" t="str">
        <x:v>Miltai</x:v>
      </x:c>
      <x:c r="E700" s="38" t="n">
        <x:v>84.9999864</x:v>
      </x:c>
      <x:c r="F700" t="str">
        <x:v>Mil0819</x:v>
      </x:c>
      <x:c r="G700" s="36" t="n">
        <x:v>46602</x:v>
      </x:c>
      <x:c r="H700" s="38" t="n">
        <x:v>84.9999864</x:v>
      </x:c>
      <x:c r="I700"/>
      <x:c r="J700" s="36"/>
      <x:c r="K700" s="38"/>
      <x:c r="L700"/>
      <x:c r="M700" s="36"/>
      <x:c r="N700" s="38"/>
      <x:c r="O700" s="38" t="n">
        <x:v>84.9999864</x:v>
      </x:c>
      <x:c r="P700" s="38" t="n">
        <x:v>0</x:v>
      </x:c>
      <x:c r="Q700" t="str">
        <x:v>OK</x:v>
      </x:c>
    </x:row>
    <x:row r="701">
      <x:c r="A701" s="36" t="n">
        <x:v>46259</x:v>
      </x:c>
      <x:c r="B701" t="str">
        <x:v>Trapus šakotis</x:v>
      </x:c>
      <x:c r="C701" t="str">
        <x:v>L356</x:v>
      </x:c>
      <x:c r="D701" t="str">
        <x:v>Grietinės mišinys</x:v>
      </x:c>
      <x:c r="E701" s="38" t="n">
        <x:v>61.199993539999994</x:v>
      </x:c>
      <x:c r="F701" t="str">
        <x:v>Gr0824</x:v>
      </x:c>
      <x:c r="G701" s="36" t="n">
        <x:v>46265</x:v>
      </x:c>
      <x:c r="H701" s="38" t="n">
        <x:v>61.199993539999994</x:v>
      </x:c>
      <x:c r="I701"/>
      <x:c r="J701" s="36"/>
      <x:c r="K701" s="38"/>
      <x:c r="L701"/>
      <x:c r="M701" s="36"/>
      <x:c r="N701" s="38"/>
      <x:c r="O701" s="38" t="n">
        <x:v>61.199993539999994</x:v>
      </x:c>
      <x:c r="P701" s="38" t="n">
        <x:v>0</x:v>
      </x:c>
      <x:c r="Q701" t="str">
        <x:v>OK</x:v>
      </x:c>
    </x:row>
    <x:row r="702">
      <x:c r="A702" s="36" t="n">
        <x:v>46259</x:v>
      </x:c>
      <x:c r="B702" t="str">
        <x:v>Trapus šakotis</x:v>
      </x:c>
      <x:c r="C702" t="str">
        <x:v>L356</x:v>
      </x:c>
      <x:c r="D702" t="str">
        <x:v>Kiaušiniai</x:v>
      </x:c>
      <x:c r="E702" s="38" t="n">
        <x:v>84.9999864</x:v>
      </x:c>
      <x:c r="F702" t="str">
        <x:v>K0810</x:v>
      </x:c>
      <x:c r="G702" s="36" t="n">
        <x:v>46264</x:v>
      </x:c>
      <x:c r="H702" s="38" t="n">
        <x:v>84.9999864</x:v>
      </x:c>
      <x:c r="I702"/>
      <x:c r="J702" s="36"/>
      <x:c r="K702" s="38"/>
      <x:c r="L702"/>
      <x:c r="M702" s="36"/>
      <x:c r="N702" s="38"/>
      <x:c r="O702" s="38" t="n">
        <x:v>84.9999864</x:v>
      </x:c>
      <x:c r="P702" s="38" t="n">
        <x:v>0</x:v>
      </x:c>
      <x:c r="Q702" t="str">
        <x:v>OK</x:v>
      </x:c>
    </x:row>
    <x:row r="703">
      <x:c r="A703" s="36" t="n">
        <x:v>46259</x:v>
      </x:c>
      <x:c r="B703" t="str">
        <x:v>Trapus šakotis</x:v>
      </x:c>
      <x:c r="C703" t="str">
        <x:v>L356</x:v>
      </x:c>
      <x:c r="D703" t="str">
        <x:v>Cukrus</x:v>
      </x:c>
      <x:c r="E703" s="38" t="n">
        <x:v>50.99999184</x:v>
      </x:c>
      <x:c r="F703" t="str">
        <x:v>Cuk0812</x:v>
      </x:c>
      <x:c r="G703" s="36" t="n">
        <x:v>46388</x:v>
      </x:c>
      <x:c r="H703" s="38" t="n">
        <x:v>50.99999184</x:v>
      </x:c>
      <x:c r="I703"/>
      <x:c r="J703" s="36"/>
      <x:c r="K703" s="38"/>
      <x:c r="L703"/>
      <x:c r="M703" s="36"/>
      <x:c r="N703" s="38"/>
      <x:c r="O703" s="38" t="n">
        <x:v>50.99999184</x:v>
      </x:c>
      <x:c r="P703" s="38" t="n">
        <x:v>0</x:v>
      </x:c>
      <x:c r="Q703" t="str">
        <x:v>OK</x:v>
      </x:c>
    </x:row>
    <x:row r="704">
      <x:c r="A704" s="36" t="n">
        <x:v>46259</x:v>
      </x:c>
      <x:c r="B704" t="str">
        <x:v>Trapus šakotis</x:v>
      </x:c>
      <x:c r="C704" t="str">
        <x:v>L356</x:v>
      </x:c>
      <x:c r="D704" t="str">
        <x:v>Margarinas trapiam "IEVA"</x:v>
      </x:c>
      <x:c r="E704" s="38" t="n">
        <x:v>60.1799184</x:v>
      </x:c>
      <x:c r="F704" t="str">
        <x:v>MarI0730</x:v>
      </x:c>
      <x:c r="G704" s="36" t="n">
        <x:v>46401</x:v>
      </x:c>
      <x:c r="H704" s="38" t="n">
        <x:v>60.1799184</x:v>
      </x:c>
      <x:c r="I704"/>
      <x:c r="J704" s="36"/>
      <x:c r="K704" s="38"/>
      <x:c r="L704"/>
      <x:c r="M704" s="36"/>
      <x:c r="N704" s="38"/>
      <x:c r="O704" s="38" t="n">
        <x:v>60.1799184</x:v>
      </x:c>
      <x:c r="P704" s="38" t="n">
        <x:v>0</x:v>
      </x:c>
      <x:c r="Q704" t="str">
        <x:v>OK</x:v>
      </x:c>
    </x:row>
    <x:row r="705">
      <x:c r="A705" s="36" t="n">
        <x:v>46259</x:v>
      </x:c>
      <x:c r="B705" t="str">
        <x:v>Trapus šakotis</x:v>
      </x:c>
      <x:c r="C705" t="str">
        <x:v>L356</x:v>
      </x:c>
      <x:c r="D705"/>
      <x:c r="E705" s="38"/>
      <x:c r="F705"/>
      <x:c r="G705" s="36"/>
      <x:c r="H705" s="38"/>
      <x:c r="I705"/>
      <x:c r="J705" s="36"/>
      <x:c r="K705" s="38"/>
      <x:c r="L705"/>
      <x:c r="M705" s="36"/>
      <x:c r="N705" s="38"/>
      <x:c r="O705" s="38"/>
      <x:c r="P705" s="38"/>
      <x:c r="Q705"/>
    </x:row>
    <x:row r="706">
      <x:c r="A706" s="36" t="n">
        <x:v>46259</x:v>
      </x:c>
      <x:c r="B706" t="str">
        <x:v>Trapus šakotis</x:v>
      </x:c>
      <x:c r="C706" t="str">
        <x:v>L356</x:v>
      </x:c>
      <x:c r="D706"/>
      <x:c r="E706" s="38"/>
      <x:c r="F706"/>
      <x:c r="G706" s="36"/>
      <x:c r="H706" s="38"/>
      <x:c r="I706"/>
      <x:c r="J706" s="36"/>
      <x:c r="K706" s="38"/>
      <x:c r="L706"/>
      <x:c r="M706" s="36"/>
      <x:c r="N706" s="38"/>
      <x:c r="O706" s="38"/>
      <x:c r="P706" s="38"/>
      <x:c r="Q706"/>
    </x:row>
    <x:row r="707">
      <x:c r="A707" s="36" t="n">
        <x:v>46259</x:v>
      </x:c>
      <x:c r="B707" t="str">
        <x:v>Trapus šakotis</x:v>
      </x:c>
      <x:c r="C707" t="str">
        <x:v>L356</x:v>
      </x:c>
      <x:c r="D707"/>
      <x:c r="E707" s="38"/>
      <x:c r="F707"/>
      <x:c r="G707" s="36"/>
      <x:c r="H707" s="38"/>
      <x:c r="I707"/>
      <x:c r="J707" s="36"/>
      <x:c r="K707" s="38"/>
      <x:c r="L707"/>
      <x:c r="M707" s="36"/>
      <x:c r="N707" s="38"/>
      <x:c r="O707" s="38"/>
      <x:c r="P707" s="38"/>
      <x:c r="Q707"/>
    </x:row>
    <x:row r="708">
      <x:c r="A708" s="36" t="n">
        <x:v>46260</x:v>
      </x:c>
      <x:c r="B708" t="str">
        <x:v>Trapus šakotis</x:v>
      </x:c>
      <x:c r="C708" t="str">
        <x:v>L356</x:v>
      </x:c>
      <x:c r="D708" t="str">
        <x:v>Miltai</x:v>
      </x:c>
      <x:c r="E708" s="38" t="n">
        <x:v>74.999988</x:v>
      </x:c>
      <x:c r="F708" t="str">
        <x:v>Mil0819</x:v>
      </x:c>
      <x:c r="G708" s="36" t="n">
        <x:v>46602</x:v>
      </x:c>
      <x:c r="H708" s="38" t="n">
        <x:v>74.999988</x:v>
      </x:c>
      <x:c r="I708"/>
      <x:c r="J708" s="36"/>
      <x:c r="K708" s="38"/>
      <x:c r="L708"/>
      <x:c r="M708" s="36"/>
      <x:c r="N708" s="38"/>
      <x:c r="O708" s="38" t="n">
        <x:v>74.999988</x:v>
      </x:c>
      <x:c r="P708" s="38" t="n">
        <x:v>0</x:v>
      </x:c>
      <x:c r="Q708" t="str">
        <x:v>OK</x:v>
      </x:c>
    </x:row>
    <x:row r="709">
      <x:c r="A709" s="36" t="n">
        <x:v>46260</x:v>
      </x:c>
      <x:c r="B709" t="str">
        <x:v>Trapus šakotis</x:v>
      </x:c>
      <x:c r="C709" t="str">
        <x:v>L356</x:v>
      </x:c>
      <x:c r="D709" t="str">
        <x:v>Grietinės mišinys</x:v>
      </x:c>
      <x:c r="E709" s="38" t="n">
        <x:v>53.9999943</x:v>
      </x:c>
      <x:c r="F709" t="str">
        <x:v>Gr0824</x:v>
      </x:c>
      <x:c r="G709" s="36" t="n">
        <x:v>46265</x:v>
      </x:c>
      <x:c r="H709" s="38" t="n">
        <x:v>53.9999943</x:v>
      </x:c>
      <x:c r="I709"/>
      <x:c r="J709" s="36"/>
      <x:c r="K709" s="38"/>
      <x:c r="L709"/>
      <x:c r="M709" s="36"/>
      <x:c r="N709" s="38"/>
      <x:c r="O709" s="38" t="n">
        <x:v>53.9999943</x:v>
      </x:c>
      <x:c r="P709" s="38" t="n">
        <x:v>0</x:v>
      </x:c>
      <x:c r="Q709" t="str">
        <x:v>OK</x:v>
      </x:c>
    </x:row>
    <x:row r="710">
      <x:c r="A710" s="36" t="n">
        <x:v>46260</x:v>
      </x:c>
      <x:c r="B710" t="str">
        <x:v>Trapus šakotis</x:v>
      </x:c>
      <x:c r="C710" t="str">
        <x:v>L356</x:v>
      </x:c>
      <x:c r="D710" t="str">
        <x:v>Kiaušiniai</x:v>
      </x:c>
      <x:c r="E710" s="38" t="n">
        <x:v>74.999988</x:v>
      </x:c>
      <x:c r="F710" t="str">
        <x:v>K0810</x:v>
      </x:c>
      <x:c r="G710" s="36" t="n">
        <x:v>46264</x:v>
      </x:c>
      <x:c r="H710" s="38" t="n">
        <x:v>74.999988</x:v>
      </x:c>
      <x:c r="I710"/>
      <x:c r="J710" s="36"/>
      <x:c r="K710" s="38"/>
      <x:c r="L710"/>
      <x:c r="M710" s="36"/>
      <x:c r="N710" s="38"/>
      <x:c r="O710" s="38" t="n">
        <x:v>74.999988</x:v>
      </x:c>
      <x:c r="P710" s="38" t="n">
        <x:v>0</x:v>
      </x:c>
      <x:c r="Q710" t="str">
        <x:v>OK</x:v>
      </x:c>
    </x:row>
    <x:row r="711">
      <x:c r="A711" s="36" t="n">
        <x:v>46260</x:v>
      </x:c>
      <x:c r="B711" t="str">
        <x:v>Trapus šakotis</x:v>
      </x:c>
      <x:c r="C711" t="str">
        <x:v>L356</x:v>
      </x:c>
      <x:c r="D711" t="str">
        <x:v>Cukrus</x:v>
      </x:c>
      <x:c r="E711" s="38" t="n">
        <x:v>44.9999928</x:v>
      </x:c>
      <x:c r="F711" t="str">
        <x:v>Cuk0812</x:v>
      </x:c>
      <x:c r="G711" s="36" t="n">
        <x:v>46388</x:v>
      </x:c>
      <x:c r="H711" s="38" t="n">
        <x:v>44.9999928</x:v>
      </x:c>
      <x:c r="I711"/>
      <x:c r="J711" s="36"/>
      <x:c r="K711" s="38"/>
      <x:c r="L711"/>
      <x:c r="M711" s="36"/>
      <x:c r="N711" s="38"/>
      <x:c r="O711" s="38" t="n">
        <x:v>44.9999928</x:v>
      </x:c>
      <x:c r="P711" s="38" t="n">
        <x:v>0</x:v>
      </x:c>
      <x:c r="Q711" t="str">
        <x:v>OK</x:v>
      </x:c>
    </x:row>
    <x:row r="712">
      <x:c r="A712" s="36" t="n">
        <x:v>46260</x:v>
      </x:c>
      <x:c r="B712" t="str">
        <x:v>Trapus šakotis</x:v>
      </x:c>
      <x:c r="C712" t="str">
        <x:v>L356</x:v>
      </x:c>
      <x:c r="D712" t="str">
        <x:v>Margarinas trapiam "IEVA"</x:v>
      </x:c>
      <x:c r="E712" s="38" t="n">
        <x:v>53.099928</x:v>
      </x:c>
      <x:c r="F712" t="str">
        <x:v>MarI0730</x:v>
      </x:c>
      <x:c r="G712" s="36" t="n">
        <x:v>46401</x:v>
      </x:c>
      <x:c r="H712" s="38" t="n">
        <x:v>53.099928</x:v>
      </x:c>
      <x:c r="I712"/>
      <x:c r="J712" s="36"/>
      <x:c r="K712" s="38"/>
      <x:c r="L712"/>
      <x:c r="M712" s="36"/>
      <x:c r="N712" s="38"/>
      <x:c r="O712" s="38" t="n">
        <x:v>53.099928</x:v>
      </x:c>
      <x:c r="P712" s="38" t="n">
        <x:v>0</x:v>
      </x:c>
      <x:c r="Q712" t="str">
        <x:v>OK</x:v>
      </x:c>
    </x:row>
    <x:row r="713">
      <x:c r="A713" s="36" t="n">
        <x:v>46260</x:v>
      </x:c>
      <x:c r="B713" t="str">
        <x:v>Trapus šakotis</x:v>
      </x:c>
      <x:c r="C713" t="str">
        <x:v>L356</x:v>
      </x:c>
      <x:c r="D713"/>
      <x:c r="E713" s="38"/>
      <x:c r="F713"/>
      <x:c r="G713" s="36"/>
      <x:c r="H713" s="38"/>
      <x:c r="I713"/>
      <x:c r="J713" s="36"/>
      <x:c r="K713" s="38"/>
      <x:c r="L713"/>
      <x:c r="M713" s="36"/>
      <x:c r="N713" s="38"/>
      <x:c r="O713" s="38"/>
      <x:c r="P713" s="38"/>
      <x:c r="Q713"/>
    </x:row>
    <x:row r="714">
      <x:c r="A714" s="36" t="n">
        <x:v>46260</x:v>
      </x:c>
      <x:c r="B714" t="str">
        <x:v>Trapus šakotis</x:v>
      </x:c>
      <x:c r="C714" t="str">
        <x:v>L356</x:v>
      </x:c>
      <x:c r="D714"/>
      <x:c r="E714" s="38"/>
      <x:c r="F714"/>
      <x:c r="G714" s="36"/>
      <x:c r="H714" s="38"/>
      <x:c r="I714"/>
      <x:c r="J714" s="36"/>
      <x:c r="K714" s="38"/>
      <x:c r="L714"/>
      <x:c r="M714" s="36"/>
      <x:c r="N714" s="38"/>
      <x:c r="O714" s="38"/>
      <x:c r="P714" s="38"/>
      <x:c r="Q714"/>
    </x:row>
    <x:row r="715">
      <x:c r="A715" s="36" t="n">
        <x:v>46260</x:v>
      </x:c>
      <x:c r="B715" t="str">
        <x:v>Trapus šakotis</x:v>
      </x:c>
      <x:c r="C715" t="str">
        <x:v>L356</x:v>
      </x:c>
      <x:c r="D715"/>
      <x:c r="E715" s="38"/>
      <x:c r="F715"/>
      <x:c r="G715" s="36"/>
      <x:c r="H715" s="38"/>
      <x:c r="I715"/>
      <x:c r="J715" s="36"/>
      <x:c r="K715" s="38"/>
      <x:c r="L715"/>
      <x:c r="M715" s="36"/>
      <x:c r="N715" s="38"/>
      <x:c r="O715" s="38"/>
      <x:c r="P715" s="38"/>
      <x:c r="Q715"/>
    </x:row>
    <x:row r="716">
      <x:c r="A716" s="36" t="n">
        <x:v>46260</x:v>
      </x:c>
      <x:c r="B716" t="str">
        <x:v>Šakotis su sviestu</x:v>
      </x:c>
      <x:c r="C716" t="str">
        <x:v>L356</x:v>
      </x:c>
      <x:c r="D716" t="str">
        <x:v>Miltai</x:v>
      </x:c>
      <x:c r="E716" s="38" t="n">
        <x:v>103.199983488</x:v>
      </x:c>
      <x:c r="F716" t="str">
        <x:v>Mil0819</x:v>
      </x:c>
      <x:c r="G716" s="36" t="n">
        <x:v>46602</x:v>
      </x:c>
      <x:c r="H716" s="38" t="n">
        <x:v>103.199983488</x:v>
      </x:c>
      <x:c r="I716"/>
      <x:c r="J716" s="36"/>
      <x:c r="K716" s="38"/>
      <x:c r="L716"/>
      <x:c r="M716" s="36"/>
      <x:c r="N716" s="38"/>
      <x:c r="O716" s="38" t="n">
        <x:v>103.199983488</x:v>
      </x:c>
      <x:c r="P716" s="38" t="n">
        <x:v>0</x:v>
      </x:c>
      <x:c r="Q716" t="str">
        <x:v>OK</x:v>
      </x:c>
    </x:row>
    <x:row r="717">
      <x:c r="A717" s="36" t="n">
        <x:v>46260</x:v>
      </x:c>
      <x:c r="B717" t="str">
        <x:v>Šakotis su sviestu</x:v>
      </x:c>
      <x:c r="C717" t="str">
        <x:v>L356</x:v>
      </x:c>
      <x:c r="D717" t="str">
        <x:v>Pienas</x:v>
      </x:c>
      <x:c r="E717" s="38" t="n">
        <x:v>38.699993808</x:v>
      </x:c>
      <x:c r="F717" t="str">
        <x:v>P0824</x:v>
      </x:c>
      <x:c r="G717" s="36" t="n">
        <x:v>46262</x:v>
      </x:c>
      <x:c r="H717" s="38" t="n">
        <x:v>38.699993808</x:v>
      </x:c>
      <x:c r="I717"/>
      <x:c r="J717" s="36"/>
      <x:c r="K717" s="38"/>
      <x:c r="L717"/>
      <x:c r="M717" s="36"/>
      <x:c r="N717" s="38"/>
      <x:c r="O717" s="38" t="n">
        <x:v>38.699993808</x:v>
      </x:c>
      <x:c r="P717" s="38" t="n">
        <x:v>0</x:v>
      </x:c>
      <x:c r="Q717" t="str">
        <x:v>OK</x:v>
      </x:c>
    </x:row>
    <x:row r="718">
      <x:c r="A718" s="36" t="n">
        <x:v>46260</x:v>
      </x:c>
      <x:c r="B718" t="str">
        <x:v>Šakotis su sviestu</x:v>
      </x:c>
      <x:c r="C718" t="str">
        <x:v>L356</x:v>
      </x:c>
      <x:c r="D718" t="str">
        <x:v>Kiaušiniai</x:v>
      </x:c>
      <x:c r="E718" s="38" t="n">
        <x:v>141.89987616</x:v>
      </x:c>
      <x:c r="F718" t="str">
        <x:v>K0810</x:v>
      </x:c>
      <x:c r="G718" s="36" t="n">
        <x:v>46264</x:v>
      </x:c>
      <x:c r="H718" s="38" t="n">
        <x:v>141.89987616</x:v>
      </x:c>
      <x:c r="I718"/>
      <x:c r="J718" s="36"/>
      <x:c r="K718" s="38"/>
      <x:c r="L718"/>
      <x:c r="M718" s="36"/>
      <x:c r="N718" s="38"/>
      <x:c r="O718" s="38" t="n">
        <x:v>141.89987616</x:v>
      </x:c>
      <x:c r="P718" s="38" t="n">
        <x:v>0</x:v>
      </x:c>
      <x:c r="Q718" t="str">
        <x:v>OK</x:v>
      </x:c>
    </x:row>
    <x:row r="719">
      <x:c r="A719" s="36" t="n">
        <x:v>46260</x:v>
      </x:c>
      <x:c r="B719" t="str">
        <x:v>Šakotis su sviestu</x:v>
      </x:c>
      <x:c r="C719" t="str">
        <x:v>L356</x:v>
      </x:c>
      <x:c r="D719" t="str">
        <x:v>Cukrus</x:v>
      </x:c>
      <x:c r="E719" s="38" t="n">
        <x:v>77.399987616</x:v>
      </x:c>
      <x:c r="F719" t="str">
        <x:v>Cuk0812</x:v>
      </x:c>
      <x:c r="G719" s="36" t="n">
        <x:v>46388</x:v>
      </x:c>
      <x:c r="H719" s="38" t="n">
        <x:v>77.399987616</x:v>
      </x:c>
      <x:c r="I719"/>
      <x:c r="J719" s="36"/>
      <x:c r="K719" s="38"/>
      <x:c r="L719"/>
      <x:c r="M719" s="36"/>
      <x:c r="N719" s="38"/>
      <x:c r="O719" s="38" t="n">
        <x:v>77.399987616</x:v>
      </x:c>
      <x:c r="P719" s="38" t="n">
        <x:v>0</x:v>
      </x:c>
      <x:c r="Q719" t="str">
        <x:v>OK</x:v>
      </x:c>
    </x:row>
    <x:row r="720">
      <x:c r="A720" s="36" t="n">
        <x:v>46260</x:v>
      </x:c>
      <x:c r="B720" t="str">
        <x:v>Šakotis su sviestu</x:v>
      </x:c>
      <x:c r="C720" t="str">
        <x:v>L356</x:v>
      </x:c>
      <x:c r="D720" t="str">
        <x:v>Sviestas</x:v>
      </x:c>
      <x:c r="E720" s="38" t="n">
        <x:v>77.399987616</x:v>
      </x:c>
      <x:c r="F720" t="str">
        <x:v>Sv0730</x:v>
      </x:c>
      <x:c r="G720" s="36" t="n">
        <x:v>46546</x:v>
      </x:c>
      <x:c r="H720" s="38" t="n">
        <x:v>77.399987616</x:v>
      </x:c>
      <x:c r="I720"/>
      <x:c r="J720" s="36"/>
      <x:c r="K720" s="38"/>
      <x:c r="L720"/>
      <x:c r="M720" s="36"/>
      <x:c r="N720" s="38"/>
      <x:c r="O720" s="38" t="n">
        <x:v>77.399987616</x:v>
      </x:c>
      <x:c r="P720" s="38" t="n">
        <x:v>0</x:v>
      </x:c>
      <x:c r="Q720" t="str">
        <x:v>OK</x:v>
      </x:c>
    </x:row>
    <x:row r="721">
      <x:c r="A721" s="36" t="n">
        <x:v>46260</x:v>
      </x:c>
      <x:c r="B721" t="str">
        <x:v>Šakotis su sviestu</x:v>
      </x:c>
      <x:c r="C721" t="str">
        <x:v>L356</x:v>
      </x:c>
      <x:c r="D721" t="str">
        <x:v>Kvapnioji medžiaga</x:v>
      </x:c>
      <x:c r="E721" s="38" t="n">
        <x:v>0.25799793600000004</x:v>
      </x:c>
      <x:c r="F721" t="str">
        <x:v>Kvp0630</x:v>
      </x:c>
      <x:c r="G721" s="36" t="n">
        <x:v>46388</x:v>
      </x:c>
      <x:c r="H721" s="38" t="n">
        <x:v>0.25799793600000004</x:v>
      </x:c>
      <x:c r="I721"/>
      <x:c r="J721" s="36"/>
      <x:c r="K721" s="38"/>
      <x:c r="L721"/>
      <x:c r="M721" s="36"/>
      <x:c r="N721" s="38"/>
      <x:c r="O721" s="38" t="n">
        <x:v>0.25799793600000004</x:v>
      </x:c>
      <x:c r="P721" s="38" t="n">
        <x:v>0</x:v>
      </x:c>
      <x:c r="Q721" t="str">
        <x:v>OK</x:v>
      </x:c>
    </x:row>
    <x:row r="722">
      <x:c r="A722" s="36" t="n">
        <x:v>46260</x:v>
      </x:c>
      <x:c r="B722" t="str">
        <x:v>Šakotis su sviestu</x:v>
      </x:c>
      <x:c r="C722" t="str">
        <x:v>L356</x:v>
      </x:c>
      <x:c r="D722" t="str">
        <x:v>Ciberžolė</x:v>
      </x:c>
      <x:c r="E722" s="38" t="n">
        <x:v>0.902992776</x:v>
      </x:c>
      <x:c r="F722" t="str">
        <x:v>Cib0805</x:v>
      </x:c>
      <x:c r="G722" s="36" t="n">
        <x:v>46895</x:v>
      </x:c>
      <x:c r="H722" s="38" t="n">
        <x:v>0.902992776</x:v>
      </x:c>
      <x:c r="I722"/>
      <x:c r="J722" s="36"/>
      <x:c r="K722" s="38"/>
      <x:c r="L722"/>
      <x:c r="M722" s="36"/>
      <x:c r="N722" s="38"/>
      <x:c r="O722" s="38" t="n">
        <x:v>0.902992776</x:v>
      </x:c>
      <x:c r="P722" s="38" t="n">
        <x:v>0</x:v>
      </x:c>
      <x:c r="Q722" t="str">
        <x:v>OK</x:v>
      </x:c>
    </x:row>
    <x:row r="723">
      <x:c r="A723" s="36" t="n">
        <x:v>46260</x:v>
      </x:c>
      <x:c r="B723" t="str">
        <x:v>Šakotis su sviestu</x:v>
      </x:c>
      <x:c r="C723" t="str">
        <x:v>L356</x:v>
      </x:c>
      <x:c r="D723" t="str">
        <x:v>Vanduo</x:v>
      </x:c>
      <x:c r="E723" s="38" t="n">
        <x:v>25.7997936</x:v>
      </x:c>
      <x:c r="F723" t="str">
        <x:v>Netaikoma</x:v>
      </x:c>
      <x:c r="G723" s="36"/>
      <x:c r="H723" s="38" t="n">
        <x:v>25.7997936</x:v>
      </x:c>
      <x:c r="I723"/>
      <x:c r="J723" s="36"/>
      <x:c r="K723" s="38"/>
      <x:c r="L723"/>
      <x:c r="M723" s="36"/>
      <x:c r="N723" s="38"/>
      <x:c r="O723" s="38" t="n">
        <x:v>25.7997936</x:v>
      </x:c>
      <x:c r="P723" s="38" t="n">
        <x:v>0</x:v>
      </x:c>
      <x:c r="Q723" t="str">
        <x:v>OK</x:v>
      </x:c>
    </x:row>
    <x:row r="724">
      <x:c r="A724" s="36" t="n">
        <x:v>46261</x:v>
      </x:c>
      <x:c r="B724" t="str">
        <x:v>Šakotis</x:v>
      </x:c>
      <x:c r="C724" t="str">
        <x:v>L356</x:v>
      </x:c>
      <x:c r="D724" t="str">
        <x:v>Miltai</x:v>
      </x:c>
      <x:c r="E724" s="38" t="n">
        <x:v>98.8775352</x:v>
      </x:c>
      <x:c r="F724" t="str">
        <x:v>Mil0819</x:v>
      </x:c>
      <x:c r="G724" s="36" t="n">
        <x:v>46602</x:v>
      </x:c>
      <x:c r="H724" s="38" t="n">
        <x:v>98.8775352</x:v>
      </x:c>
      <x:c r="I724"/>
      <x:c r="J724" s="36"/>
      <x:c r="K724" s="38"/>
      <x:c r="L724"/>
      <x:c r="M724" s="36"/>
      <x:c r="N724" s="38"/>
      <x:c r="O724" s="38" t="n">
        <x:v>98.8775352</x:v>
      </x:c>
      <x:c r="P724" s="38" t="n">
        <x:v>0</x:v>
      </x:c>
      <x:c r="Q724" t="str">
        <x:v>OK</x:v>
      </x:c>
    </x:row>
    <x:row r="725">
      <x:c r="A725" s="36" t="n">
        <x:v>46261</x:v>
      </x:c>
      <x:c r="B725" t="str">
        <x:v>Šakotis</x:v>
      </x:c>
      <x:c r="C725" t="str">
        <x:v>L356</x:v>
      </x:c>
      <x:c r="D725" t="str">
        <x:v>Pienas</x:v>
      </x:c>
      <x:c r="E725" s="38" t="n">
        <x:v>37.079075700000004</x:v>
      </x:c>
      <x:c r="F725" t="str">
        <x:v>P0824</x:v>
      </x:c>
      <x:c r="G725" s="36" t="n">
        <x:v>46262</x:v>
      </x:c>
      <x:c r="H725" s="38" t="n">
        <x:v>37.079075700000004</x:v>
      </x:c>
      <x:c r="I725"/>
      <x:c r="J725" s="36"/>
      <x:c r="K725" s="38"/>
      <x:c r="L725"/>
      <x:c r="M725" s="36"/>
      <x:c r="N725" s="38"/>
      <x:c r="O725" s="38" t="n">
        <x:v>37.079075700000004</x:v>
      </x:c>
      <x:c r="P725" s="38" t="n">
        <x:v>0</x:v>
      </x:c>
      <x:c r="Q725" t="str">
        <x:v>OK</x:v>
      </x:c>
    </x:row>
    <x:row r="726">
      <x:c r="A726" s="36" t="n">
        <x:v>46261</x:v>
      </x:c>
      <x:c r="B726" t="str">
        <x:v>Šakotis</x:v>
      </x:c>
      <x:c r="C726" t="str">
        <x:v>L356</x:v>
      </x:c>
      <x:c r="D726" t="str">
        <x:v>Kiaušiniai</x:v>
      </x:c>
      <x:c r="E726" s="38" t="n">
        <x:v>135.956514</x:v>
      </x:c>
      <x:c r="F726" t="str">
        <x:v>K0810</x:v>
      </x:c>
      <x:c r="G726" s="36" t="n">
        <x:v>46264</x:v>
      </x:c>
      <x:c r="H726" s="38" t="n">
        <x:v>135.956514</x:v>
      </x:c>
      <x:c r="I726"/>
      <x:c r="J726" s="36"/>
      <x:c r="K726" s="38"/>
      <x:c r="L726"/>
      <x:c r="M726" s="36"/>
      <x:c r="N726" s="38"/>
      <x:c r="O726" s="38" t="n">
        <x:v>135.956514</x:v>
      </x:c>
      <x:c r="P726" s="38" t="n">
        <x:v>0</x:v>
      </x:c>
      <x:c r="Q726" t="str">
        <x:v>OK</x:v>
      </x:c>
    </x:row>
    <x:row r="727">
      <x:c r="A727" s="36" t="n">
        <x:v>46261</x:v>
      </x:c>
      <x:c r="B727" t="str">
        <x:v>Šakotis</x:v>
      </x:c>
      <x:c r="C727" t="str">
        <x:v>L356</x:v>
      </x:c>
      <x:c r="D727" t="str">
        <x:v>Cukrus</x:v>
      </x:c>
      <x:c r="E727" s="38" t="n">
        <x:v>74.15815140000001</x:v>
      </x:c>
      <x:c r="F727" t="str">
        <x:v>Cuk0812</x:v>
      </x:c>
      <x:c r="G727" s="36" t="n">
        <x:v>46388</x:v>
      </x:c>
      <x:c r="H727" s="38" t="n">
        <x:v>74.15815140000001</x:v>
      </x:c>
      <x:c r="I727"/>
      <x:c r="J727" s="36"/>
      <x:c r="K727" s="38"/>
      <x:c r="L727"/>
      <x:c r="M727" s="36"/>
      <x:c r="N727" s="38"/>
      <x:c r="O727" s="38" t="n">
        <x:v>74.15815140000001</x:v>
      </x:c>
      <x:c r="P727" s="38" t="n">
        <x:v>0</x:v>
      </x:c>
      <x:c r="Q727" t="str">
        <x:v>OK</x:v>
      </x:c>
    </x:row>
    <x:row r="728">
      <x:c r="A728" s="36" t="n">
        <x:v>46261</x:v>
      </x:c>
      <x:c r="B728" t="str">
        <x:v>Šakotis</x:v>
      </x:c>
      <x:c r="C728" t="str">
        <x:v>L356</x:v>
      </x:c>
      <x:c r="D728" t="str">
        <x:v>Margarinas Šakočiui "Alvas"</x:v>
      </x:c>
      <x:c r="E728" s="38" t="n">
        <x:v>74.15815140000001</x:v>
      </x:c>
      <x:c r="F728" t="str">
        <x:v>MarA0730</x:v>
      </x:c>
      <x:c r="G728" s="36" t="n">
        <x:v>46322</x:v>
      </x:c>
      <x:c r="H728" s="38" t="n">
        <x:v>74.15815140000001</x:v>
      </x:c>
      <x:c r="I728"/>
      <x:c r="J728" s="36"/>
      <x:c r="K728" s="38"/>
      <x:c r="L728"/>
      <x:c r="M728" s="36"/>
      <x:c r="N728" s="38"/>
      <x:c r="O728" s="38" t="n">
        <x:v>74.15815140000001</x:v>
      </x:c>
      <x:c r="P728" s="38" t="n">
        <x:v>0</x:v>
      </x:c>
      <x:c r="Q728" t="str">
        <x:v>OK</x:v>
      </x:c>
    </x:row>
    <x:row r="729">
      <x:c r="A729" s="36" t="n">
        <x:v>46261</x:v>
      </x:c>
      <x:c r="B729" t="str">
        <x:v>Šakotis</x:v>
      </x:c>
      <x:c r="C729" t="str">
        <x:v>L356</x:v>
      </x:c>
      <x:c r="D729" t="str">
        <x:v>Kvapnioji medžiaga</x:v>
      </x:c>
      <x:c r="E729" s="38" t="n">
        <x:v>0.24719190000000002</x:v>
      </x:c>
      <x:c r="F729" t="str">
        <x:v>Kvp0630</x:v>
      </x:c>
      <x:c r="G729" s="36" t="n">
        <x:v>46388</x:v>
      </x:c>
      <x:c r="H729" s="38" t="n">
        <x:v>0.24719190000000002</x:v>
      </x:c>
      <x:c r="I729"/>
      <x:c r="J729" s="36"/>
      <x:c r="K729" s="38"/>
      <x:c r="L729"/>
      <x:c r="M729" s="36"/>
      <x:c r="N729" s="38"/>
      <x:c r="O729" s="38" t="n">
        <x:v>0.24719190000000002</x:v>
      </x:c>
      <x:c r="P729" s="38" t="n">
        <x:v>0</x:v>
      </x:c>
      <x:c r="Q729" t="str">
        <x:v>OK</x:v>
      </x:c>
    </x:row>
    <x:row r="730">
      <x:c r="A730" s="36" t="n">
        <x:v>46261</x:v>
      </x:c>
      <x:c r="B730" t="str">
        <x:v>Šakotis</x:v>
      </x:c>
      <x:c r="C730" t="str">
        <x:v>L356</x:v>
      </x:c>
      <x:c r="D730" t="str">
        <x:v>Ciberžolė</x:v>
      </x:c>
      <x:c r="E730" s="38" t="n">
        <x:v>0.8651716500000001</x:v>
      </x:c>
      <x:c r="F730" t="str">
        <x:v>Cib0805</x:v>
      </x:c>
      <x:c r="G730" s="36" t="n">
        <x:v>46895</x:v>
      </x:c>
      <x:c r="H730" s="38" t="n">
        <x:v>0.8651716500000001</x:v>
      </x:c>
      <x:c r="I730"/>
      <x:c r="J730" s="36"/>
      <x:c r="K730" s="38"/>
      <x:c r="L730"/>
      <x:c r="M730" s="36"/>
      <x:c r="N730" s="38"/>
      <x:c r="O730" s="38" t="n">
        <x:v>0.8651716500000001</x:v>
      </x:c>
      <x:c r="P730" s="38" t="n">
        <x:v>0</x:v>
      </x:c>
      <x:c r="Q730" t="str">
        <x:v>OK</x:v>
      </x:c>
    </x:row>
    <x:row r="731">
      <x:c r="A731" s="36" t="n">
        <x:v>46261</x:v>
      </x:c>
      <x:c r="B731" t="str">
        <x:v>Šakotis</x:v>
      </x:c>
      <x:c r="C731" t="str">
        <x:v>L356</x:v>
      </x:c>
      <x:c r="D731" t="str">
        <x:v>Vanduo</x:v>
      </x:c>
      <x:c r="E731" s="38" t="n">
        <x:v>12.35741475</x:v>
      </x:c>
      <x:c r="F731" t="str">
        <x:v>Netaikoma</x:v>
      </x:c>
      <x:c r="G731" s="36"/>
      <x:c r="H731" s="38" t="n">
        <x:v>12.35741475</x:v>
      </x:c>
      <x:c r="I731"/>
      <x:c r="J731" s="36"/>
      <x:c r="K731" s="38"/>
      <x:c r="L731"/>
      <x:c r="M731" s="36"/>
      <x:c r="N731" s="38"/>
      <x:c r="O731" s="38" t="n">
        <x:v>12.35741475</x:v>
      </x:c>
      <x:c r="P731" s="38" t="n">
        <x:v>0</x:v>
      </x:c>
      <x:c r="Q731" t="str">
        <x:v>OK</x:v>
      </x:c>
    </x:row>
    <x:row r="732">
      <x:c r="A732" s="36" t="n">
        <x:v>46261</x:v>
      </x:c>
      <x:c r="B732" t="str">
        <x:v>Trapus šakotis</x:v>
      </x:c>
      <x:c r="C732" t="str">
        <x:v>L356</x:v>
      </x:c>
      <x:c r="D732" t="str">
        <x:v>Miltai</x:v>
      </x:c>
      <x:c r="E732" s="38" t="n">
        <x:v>79.9999872</x:v>
      </x:c>
      <x:c r="F732" t="str">
        <x:v>Mil0819</x:v>
      </x:c>
      <x:c r="G732" s="36" t="n">
        <x:v>46602</x:v>
      </x:c>
      <x:c r="H732" s="38" t="n">
        <x:v>79.9999872</x:v>
      </x:c>
      <x:c r="I732"/>
      <x:c r="J732" s="36"/>
      <x:c r="K732" s="38"/>
      <x:c r="L732"/>
      <x:c r="M732" s="36"/>
      <x:c r="N732" s="38"/>
      <x:c r="O732" s="38" t="n">
        <x:v>79.9999872</x:v>
      </x:c>
      <x:c r="P732" s="38" t="n">
        <x:v>0</x:v>
      </x:c>
      <x:c r="Q732" t="str">
        <x:v>OK</x:v>
      </x:c>
    </x:row>
    <x:row r="733">
      <x:c r="A733" s="36" t="n">
        <x:v>46261</x:v>
      </x:c>
      <x:c r="B733" t="str">
        <x:v>Trapus šakotis</x:v>
      </x:c>
      <x:c r="C733" t="str">
        <x:v>L356</x:v>
      </x:c>
      <x:c r="D733" t="str">
        <x:v>Grietinės mišinys</x:v>
      </x:c>
      <x:c r="E733" s="38" t="n">
        <x:v>57.59999392</x:v>
      </x:c>
      <x:c r="F733" t="str">
        <x:v>Gr0824</x:v>
      </x:c>
      <x:c r="G733" s="36" t="n">
        <x:v>46265</x:v>
      </x:c>
      <x:c r="H733" s="38" t="n">
        <x:v>34.80001216000001</x:v>
      </x:c>
      <x:c r="I733"/>
      <x:c r="J733" s="36"/>
      <x:c r="K733" s="38"/>
      <x:c r="L733"/>
      <x:c r="M733" s="36"/>
      <x:c r="N733" s="38"/>
      <x:c r="O733" s="38" t="n">
        <x:v>34.80001216000001</x:v>
      </x:c>
      <x:c r="P733" s="38" t="n">
        <x:v>22.799981759999994</x:v>
      </x:c>
      <x:c r="Q733" t="str">
        <x:v>TRŪKSTA / NĖRA GALIOJANČIOS PARTIJOS</x:v>
      </x:c>
    </x:row>
    <x:row r="734">
      <x:c r="A734" s="36" t="n">
        <x:v>46261</x:v>
      </x:c>
      <x:c r="B734" t="str">
        <x:v>Trapus šakotis</x:v>
      </x:c>
      <x:c r="C734" t="str">
        <x:v>L356</x:v>
      </x:c>
      <x:c r="D734" t="str">
        <x:v>Kiaušiniai</x:v>
      </x:c>
      <x:c r="E734" s="38" t="n">
        <x:v>79.9999872</x:v>
      </x:c>
      <x:c r="F734" t="str">
        <x:v>K0810</x:v>
      </x:c>
      <x:c r="G734" s="36" t="n">
        <x:v>46264</x:v>
      </x:c>
      <x:c r="H734" s="38" t="n">
        <x:v>79.9999872</x:v>
      </x:c>
      <x:c r="I734"/>
      <x:c r="J734" s="36"/>
      <x:c r="K734" s="38"/>
      <x:c r="L734"/>
      <x:c r="M734" s="36"/>
      <x:c r="N734" s="38"/>
      <x:c r="O734" s="38" t="n">
        <x:v>79.9999872</x:v>
      </x:c>
      <x:c r="P734" s="38" t="n">
        <x:v>0</x:v>
      </x:c>
      <x:c r="Q734" t="str">
        <x:v>OK</x:v>
      </x:c>
    </x:row>
    <x:row r="735">
      <x:c r="A735" s="36" t="n">
        <x:v>46261</x:v>
      </x:c>
      <x:c r="B735" t="str">
        <x:v>Trapus šakotis</x:v>
      </x:c>
      <x:c r="C735" t="str">
        <x:v>L356</x:v>
      </x:c>
      <x:c r="D735" t="str">
        <x:v>Cukrus</x:v>
      </x:c>
      <x:c r="E735" s="38" t="n">
        <x:v>47.999992320000004</x:v>
      </x:c>
      <x:c r="F735" t="str">
        <x:v>Cuk0812</x:v>
      </x:c>
      <x:c r="G735" s="36" t="n">
        <x:v>46388</x:v>
      </x:c>
      <x:c r="H735" s="38" t="n">
        <x:v>47.999992320000004</x:v>
      </x:c>
      <x:c r="I735"/>
      <x:c r="J735" s="36"/>
      <x:c r="K735" s="38"/>
      <x:c r="L735"/>
      <x:c r="M735" s="36"/>
      <x:c r="N735" s="38"/>
      <x:c r="O735" s="38" t="n">
        <x:v>47.999992320000004</x:v>
      </x:c>
      <x:c r="P735" s="38" t="n">
        <x:v>0</x:v>
      </x:c>
      <x:c r="Q735" t="str">
        <x:v>OK</x:v>
      </x:c>
    </x:row>
    <x:row r="736">
      <x:c r="A736" s="36" t="n">
        <x:v>46261</x:v>
      </x:c>
      <x:c r="B736" t="str">
        <x:v>Trapus šakotis</x:v>
      </x:c>
      <x:c r="C736" t="str">
        <x:v>L356</x:v>
      </x:c>
      <x:c r="D736" t="str">
        <x:v>Margarinas trapiam "IEVA"</x:v>
      </x:c>
      <x:c r="E736" s="38" t="n">
        <x:v>56.639923200000005</x:v>
      </x:c>
      <x:c r="F736" t="str">
        <x:v>MarI0730</x:v>
      </x:c>
      <x:c r="G736" s="36" t="n">
        <x:v>46401</x:v>
      </x:c>
      <x:c r="H736" s="38" t="n">
        <x:v>56.639923200000005</x:v>
      </x:c>
      <x:c r="I736"/>
      <x:c r="J736" s="36"/>
      <x:c r="K736" s="38"/>
      <x:c r="L736"/>
      <x:c r="M736" s="36"/>
      <x:c r="N736" s="38"/>
      <x:c r="O736" s="38" t="n">
        <x:v>56.639923200000005</x:v>
      </x:c>
      <x:c r="P736" s="38" t="n">
        <x:v>0</x:v>
      </x:c>
      <x:c r="Q736" t="str">
        <x:v>OK</x:v>
      </x:c>
    </x:row>
    <x:row r="737">
      <x:c r="A737" s="36" t="n">
        <x:v>46261</x:v>
      </x:c>
      <x:c r="B737" t="str">
        <x:v>Trapus šakotis</x:v>
      </x:c>
      <x:c r="C737" t="str">
        <x:v>L356</x:v>
      </x:c>
      <x:c r="D737"/>
      <x:c r="E737" s="38"/>
      <x:c r="F737"/>
      <x:c r="G737" s="36"/>
      <x:c r="H737" s="38"/>
      <x:c r="I737"/>
      <x:c r="J737" s="36"/>
      <x:c r="K737" s="38"/>
      <x:c r="L737"/>
      <x:c r="M737" s="36"/>
      <x:c r="N737" s="38"/>
      <x:c r="O737" s="38"/>
      <x:c r="P737" s="38"/>
      <x:c r="Q737"/>
    </x:row>
    <x:row r="738">
      <x:c r="A738" s="36" t="n">
        <x:v>46261</x:v>
      </x:c>
      <x:c r="B738" t="str">
        <x:v>Trapus šakotis</x:v>
      </x:c>
      <x:c r="C738" t="str">
        <x:v>L356</x:v>
      </x:c>
      <x:c r="D738"/>
      <x:c r="E738" s="38"/>
      <x:c r="F738"/>
      <x:c r="G738" s="36"/>
      <x:c r="H738" s="38"/>
      <x:c r="I738"/>
      <x:c r="J738" s="36"/>
      <x:c r="K738" s="38"/>
      <x:c r="L738"/>
      <x:c r="M738" s="36"/>
      <x:c r="N738" s="38"/>
      <x:c r="O738" s="38"/>
      <x:c r="P738" s="38"/>
      <x:c r="Q738"/>
    </x:row>
    <x:row r="739">
      <x:c r="A739" s="36" t="n">
        <x:v>46261</x:v>
      </x:c>
      <x:c r="B739" t="str">
        <x:v>Trapus šakotis</x:v>
      </x:c>
      <x:c r="C739" t="str">
        <x:v>L356</x:v>
      </x:c>
      <x:c r="D739"/>
      <x:c r="E739" s="38"/>
      <x:c r="F739"/>
      <x:c r="G739" s="36"/>
      <x:c r="H739" s="38"/>
      <x:c r="I739"/>
      <x:c r="J739" s="36"/>
      <x:c r="K739" s="38"/>
      <x:c r="L739"/>
      <x:c r="M739" s="36"/>
      <x:c r="N739" s="38"/>
      <x:c r="O739" s="38"/>
      <x:c r="P739" s="38"/>
      <x:c r="Q739"/>
    </x:row>
    <x:row r="740">
      <x:c r="A740" s="36" t="n">
        <x:v>46262</x:v>
      </x:c>
      <x:c r="B740" t="str">
        <x:v>Šakotis</x:v>
      </x:c>
      <x:c r="C740" t="str">
        <x:v>L356</x:v>
      </x:c>
      <x:c r="D740" t="str">
        <x:v>Miltai</x:v>
      </x:c>
      <x:c r="E740" s="38" t="n">
        <x:v>105.99998303999999</x:v>
      </x:c>
      <x:c r="F740" t="str">
        <x:v>Mil0819</x:v>
      </x:c>
      <x:c r="G740" s="36" t="n">
        <x:v>46602</x:v>
      </x:c>
      <x:c r="H740" s="38" t="n">
        <x:v>105.99998303999999</x:v>
      </x:c>
      <x:c r="I740"/>
      <x:c r="J740" s="36"/>
      <x:c r="K740" s="38"/>
      <x:c r="L740"/>
      <x:c r="M740" s="36"/>
      <x:c r="N740" s="38"/>
      <x:c r="O740" s="38" t="n">
        <x:v>105.99998303999999</x:v>
      </x:c>
      <x:c r="P740" s="38" t="n">
        <x:v>0</x:v>
      </x:c>
      <x:c r="Q740" t="str">
        <x:v>OK</x:v>
      </x:c>
    </x:row>
    <x:row r="741">
      <x:c r="A741" s="36" t="n">
        <x:v>46262</x:v>
      </x:c>
      <x:c r="B741" t="str">
        <x:v>Šakotis</x:v>
      </x:c>
      <x:c r="C741" t="str">
        <x:v>L356</x:v>
      </x:c>
      <x:c r="D741" t="str">
        <x:v>Pienas</x:v>
      </x:c>
      <x:c r="E741" s="38" t="n">
        <x:v>39.74999364</x:v>
      </x:c>
      <x:c r="F741" t="str">
        <x:v>P0824</x:v>
      </x:c>
      <x:c r="G741" s="36" t="n">
        <x:v>46262</x:v>
      </x:c>
      <x:c r="H741" s="38" t="n">
        <x:v>24.220930491999994</x:v>
      </x:c>
      <x:c r="I741" t="str">
        <x:v>P0826</x:v>
      </x:c>
      <x:c r="J741" s="36" t="n">
        <x:v>46266</x:v>
      </x:c>
      <x:c r="K741" s="38" t="n">
        <x:v>15.529063148000006</x:v>
      </x:c>
      <x:c r="L741"/>
      <x:c r="M741" s="36"/>
      <x:c r="N741" s="38"/>
      <x:c r="O741" s="38" t="n">
        <x:v>39.74999364</x:v>
      </x:c>
      <x:c r="P741" s="38" t="n">
        <x:v>0</x:v>
      </x:c>
      <x:c r="Q741" t="str">
        <x:v>OK</x:v>
      </x:c>
    </x:row>
    <x:row r="742">
      <x:c r="A742" s="36" t="n">
        <x:v>46262</x:v>
      </x:c>
      <x:c r="B742" t="str">
        <x:v>Šakotis</x:v>
      </x:c>
      <x:c r="C742" t="str">
        <x:v>L356</x:v>
      </x:c>
      <x:c r="D742" t="str">
        <x:v>Kiaušiniai</x:v>
      </x:c>
      <x:c r="E742" s="38" t="n">
        <x:v>145.7498728</x:v>
      </x:c>
      <x:c r="F742" t="str">
        <x:v>K0810</x:v>
      </x:c>
      <x:c r="G742" s="36" t="n">
        <x:v>46264</x:v>
      </x:c>
      <x:c r="H742" s="38" t="n">
        <x:v>145.7498728</x:v>
      </x:c>
      <x:c r="I742"/>
      <x:c r="J742" s="36"/>
      <x:c r="K742" s="38"/>
      <x:c r="L742"/>
      <x:c r="M742" s="36"/>
      <x:c r="N742" s="38"/>
      <x:c r="O742" s="38" t="n">
        <x:v>145.7498728</x:v>
      </x:c>
      <x:c r="P742" s="38" t="n">
        <x:v>0</x:v>
      </x:c>
      <x:c r="Q742" t="str">
        <x:v>OK</x:v>
      </x:c>
    </x:row>
    <x:row r="743">
      <x:c r="A743" s="36" t="n">
        <x:v>46262</x:v>
      </x:c>
      <x:c r="B743" t="str">
        <x:v>Šakotis</x:v>
      </x:c>
      <x:c r="C743" t="str">
        <x:v>L356</x:v>
      </x:c>
      <x:c r="D743" t="str">
        <x:v>Cukrus</x:v>
      </x:c>
      <x:c r="E743" s="38" t="n">
        <x:v>79.49998728</x:v>
      </x:c>
      <x:c r="F743" t="str">
        <x:v>Cuk0812</x:v>
      </x:c>
      <x:c r="G743" s="36" t="n">
        <x:v>46388</x:v>
      </x:c>
      <x:c r="H743" s="38" t="n">
        <x:v>79.49998728</x:v>
      </x:c>
      <x:c r="I743"/>
      <x:c r="J743" s="36"/>
      <x:c r="K743" s="38"/>
      <x:c r="L743"/>
      <x:c r="M743" s="36"/>
      <x:c r="N743" s="38"/>
      <x:c r="O743" s="38" t="n">
        <x:v>79.49998728</x:v>
      </x:c>
      <x:c r="P743" s="38" t="n">
        <x:v>0</x:v>
      </x:c>
      <x:c r="Q743" t="str">
        <x:v>OK</x:v>
      </x:c>
    </x:row>
    <x:row r="744">
      <x:c r="A744" s="36" t="n">
        <x:v>46262</x:v>
      </x:c>
      <x:c r="B744" t="str">
        <x:v>Šakotis</x:v>
      </x:c>
      <x:c r="C744" t="str">
        <x:v>L356</x:v>
      </x:c>
      <x:c r="D744" t="str">
        <x:v>Margarinas Šakočiui "Alvas"</x:v>
      </x:c>
      <x:c r="E744" s="38" t="n">
        <x:v>79.49998728</x:v>
      </x:c>
      <x:c r="F744" t="str">
        <x:v>MarA0730</x:v>
      </x:c>
      <x:c r="G744" s="36" t="n">
        <x:v>46322</x:v>
      </x:c>
      <x:c r="H744" s="38" t="n">
        <x:v>79.49998728</x:v>
      </x:c>
      <x:c r="I744"/>
      <x:c r="J744" s="36"/>
      <x:c r="K744" s="38"/>
      <x:c r="L744"/>
      <x:c r="M744" s="36"/>
      <x:c r="N744" s="38"/>
      <x:c r="O744" s="38" t="n">
        <x:v>79.49998728</x:v>
      </x:c>
      <x:c r="P744" s="38" t="n">
        <x:v>0</x:v>
      </x:c>
      <x:c r="Q744" t="str">
        <x:v>OK</x:v>
      </x:c>
    </x:row>
    <x:row r="745">
      <x:c r="A745" s="36" t="n">
        <x:v>46262</x:v>
      </x:c>
      <x:c r="B745" t="str">
        <x:v>Šakotis</x:v>
      </x:c>
      <x:c r="C745" t="str">
        <x:v>L356</x:v>
      </x:c>
      <x:c r="D745" t="str">
        <x:v>Kvapnioji medžiaga</x:v>
      </x:c>
      <x:c r="E745" s="38" t="n">
        <x:v>0.26499788</x:v>
      </x:c>
      <x:c r="F745" t="str">
        <x:v>Kvp0630</x:v>
      </x:c>
      <x:c r="G745" s="36" t="n">
        <x:v>46388</x:v>
      </x:c>
      <x:c r="H745" s="38" t="n">
        <x:v>0.26499788</x:v>
      </x:c>
      <x:c r="I745"/>
      <x:c r="J745" s="36"/>
      <x:c r="K745" s="38"/>
      <x:c r="L745"/>
      <x:c r="M745" s="36"/>
      <x:c r="N745" s="38"/>
      <x:c r="O745" s="38" t="n">
        <x:v>0.26499788</x:v>
      </x:c>
      <x:c r="P745" s="38" t="n">
        <x:v>0</x:v>
      </x:c>
      <x:c r="Q745" t="str">
        <x:v>OK</x:v>
      </x:c>
    </x:row>
    <x:row r="746">
      <x:c r="A746" s="36" t="n">
        <x:v>46262</x:v>
      </x:c>
      <x:c r="B746" t="str">
        <x:v>Šakotis</x:v>
      </x:c>
      <x:c r="C746" t="str">
        <x:v>L356</x:v>
      </x:c>
      <x:c r="D746" t="str">
        <x:v>Ciberžolė</x:v>
      </x:c>
      <x:c r="E746" s="38" t="n">
        <x:v>0.92749258</x:v>
      </x:c>
      <x:c r="F746" t="str">
        <x:v>Cib0805</x:v>
      </x:c>
      <x:c r="G746" s="36" t="n">
        <x:v>46895</x:v>
      </x:c>
      <x:c r="H746" s="38" t="n">
        <x:v>0.92749258</x:v>
      </x:c>
      <x:c r="I746"/>
      <x:c r="J746" s="36"/>
      <x:c r="K746" s="38"/>
      <x:c r="L746"/>
      <x:c r="M746" s="36"/>
      <x:c r="N746" s="38"/>
      <x:c r="O746" s="38" t="n">
        <x:v>0.92749258</x:v>
      </x:c>
      <x:c r="P746" s="38" t="n">
        <x:v>0</x:v>
      </x:c>
      <x:c r="Q746" t="str">
        <x:v>OK</x:v>
      </x:c>
    </x:row>
    <x:row r="747">
      <x:c r="A747" s="36" t="n">
        <x:v>46262</x:v>
      </x:c>
      <x:c r="B747" t="str">
        <x:v>Šakotis</x:v>
      </x:c>
      <x:c r="C747" t="str">
        <x:v>L356</x:v>
      </x:c>
      <x:c r="D747" t="str">
        <x:v>Vanduo</x:v>
      </x:c>
      <x:c r="E747" s="38" t="n">
        <x:v>13.247556699999999</x:v>
      </x:c>
      <x:c r="F747" t="str">
        <x:v>Netaikoma</x:v>
      </x:c>
      <x:c r="G747" s="36"/>
      <x:c r="H747" s="38" t="n">
        <x:v>13.247556699999999</x:v>
      </x:c>
      <x:c r="I747"/>
      <x:c r="J747" s="36"/>
      <x:c r="K747" s="38"/>
      <x:c r="L747"/>
      <x:c r="M747" s="36"/>
      <x:c r="N747" s="38"/>
      <x:c r="O747" s="38" t="n">
        <x:v>13.247556699999999</x:v>
      </x:c>
      <x:c r="P747" s="38" t="n">
        <x:v>0</x:v>
      </x:c>
      <x:c r="Q747" t="str">
        <x:v>OK</x:v>
      </x:c>
    </x:row>
    <x:row r="748">
      <x:c r="A748" s="36" t="n">
        <x:v>46262</x:v>
      </x:c>
      <x:c r="B748" t="str">
        <x:v>Trapus šakotis</x:v>
      </x:c>
      <x:c r="C748" t="str">
        <x:v>L356</x:v>
      </x:c>
      <x:c r="D748" t="str">
        <x:v>Miltai</x:v>
      </x:c>
      <x:c r="E748" s="38" t="n">
        <x:v>79.9999872</x:v>
      </x:c>
      <x:c r="F748" t="str">
        <x:v>Mil0819</x:v>
      </x:c>
      <x:c r="G748" s="36" t="n">
        <x:v>46602</x:v>
      </x:c>
      <x:c r="H748" s="38" t="n">
        <x:v>79.9999872</x:v>
      </x:c>
      <x:c r="I748"/>
      <x:c r="J748" s="36"/>
      <x:c r="K748" s="38"/>
      <x:c r="L748"/>
      <x:c r="M748" s="36"/>
      <x:c r="N748" s="38"/>
      <x:c r="O748" s="38" t="n">
        <x:v>79.9999872</x:v>
      </x:c>
      <x:c r="P748" s="38" t="n">
        <x:v>0</x:v>
      </x:c>
      <x:c r="Q748" t="str">
        <x:v>OK</x:v>
      </x:c>
    </x:row>
    <x:row r="749">
      <x:c r="A749" s="36" t="n">
        <x:v>46262</x:v>
      </x:c>
      <x:c r="B749" t="str">
        <x:v>Trapus šakotis</x:v>
      </x:c>
      <x:c r="C749" t="str">
        <x:v>L356</x:v>
      </x:c>
      <x:c r="D749" t="str">
        <x:v>Grietinės mišinys</x:v>
      </x:c>
      <x:c r="E749" s="38" t="n">
        <x:v>57.59999392</x:v>
      </x:c>
      <x:c r="F749"/>
      <x:c r="G749" s="36"/>
      <x:c r="H749" s="38"/>
      <x:c r="I749"/>
      <x:c r="J749" s="36"/>
      <x:c r="K749" s="38"/>
      <x:c r="L749"/>
      <x:c r="M749" s="36"/>
      <x:c r="N749" s="38"/>
      <x:c r="O749" s="38" t="n">
        <x:v>0</x:v>
      </x:c>
      <x:c r="P749" s="38" t="n">
        <x:v>57.59999392</x:v>
      </x:c>
      <x:c r="Q749" t="str">
        <x:v>TRŪKSTA / NĖRA GALIOJANČIOS PARTIJOS</x:v>
      </x:c>
    </x:row>
    <x:row r="750">
      <x:c r="A750" s="36" t="n">
        <x:v>46262</x:v>
      </x:c>
      <x:c r="B750" t="str">
        <x:v>Trapus šakotis</x:v>
      </x:c>
      <x:c r="C750" t="str">
        <x:v>L356</x:v>
      </x:c>
      <x:c r="D750" t="str">
        <x:v>Kiaušiniai</x:v>
      </x:c>
      <x:c r="E750" s="38" t="n">
        <x:v>79.9999872</x:v>
      </x:c>
      <x:c r="F750" t="str">
        <x:v>K0810</x:v>
      </x:c>
      <x:c r="G750" s="36" t="n">
        <x:v>46264</x:v>
      </x:c>
      <x:c r="H750" s="38" t="n">
        <x:v>79.9999872</x:v>
      </x:c>
      <x:c r="I750"/>
      <x:c r="J750" s="36"/>
      <x:c r="K750" s="38"/>
      <x:c r="L750"/>
      <x:c r="M750" s="36"/>
      <x:c r="N750" s="38"/>
      <x:c r="O750" s="38" t="n">
        <x:v>79.9999872</x:v>
      </x:c>
      <x:c r="P750" s="38" t="n">
        <x:v>0</x:v>
      </x:c>
      <x:c r="Q750" t="str">
        <x:v>OK</x:v>
      </x:c>
    </x:row>
    <x:row r="751">
      <x:c r="A751" s="36" t="n">
        <x:v>46262</x:v>
      </x:c>
      <x:c r="B751" t="str">
        <x:v>Trapus šakotis</x:v>
      </x:c>
      <x:c r="C751" t="str">
        <x:v>L356</x:v>
      </x:c>
      <x:c r="D751" t="str">
        <x:v>Cukrus</x:v>
      </x:c>
      <x:c r="E751" s="38" t="n">
        <x:v>47.999992320000004</x:v>
      </x:c>
      <x:c r="F751" t="str">
        <x:v>Cuk0812</x:v>
      </x:c>
      <x:c r="G751" s="36" t="n">
        <x:v>46388</x:v>
      </x:c>
      <x:c r="H751" s="38" t="n">
        <x:v>47.999992320000004</x:v>
      </x:c>
      <x:c r="I751"/>
      <x:c r="J751" s="36"/>
      <x:c r="K751" s="38"/>
      <x:c r="L751"/>
      <x:c r="M751" s="36"/>
      <x:c r="N751" s="38"/>
      <x:c r="O751" s="38" t="n">
        <x:v>47.999992320000004</x:v>
      </x:c>
      <x:c r="P751" s="38" t="n">
        <x:v>0</x:v>
      </x:c>
      <x:c r="Q751" t="str">
        <x:v>OK</x:v>
      </x:c>
    </x:row>
    <x:row r="752">
      <x:c r="A752" s="36" t="n">
        <x:v>46262</x:v>
      </x:c>
      <x:c r="B752" t="str">
        <x:v>Trapus šakotis</x:v>
      </x:c>
      <x:c r="C752" t="str">
        <x:v>L356</x:v>
      </x:c>
      <x:c r="D752" t="str">
        <x:v>Margarinas trapiam "IEVA"</x:v>
      </x:c>
      <x:c r="E752" s="38" t="n">
        <x:v>56.639923200000005</x:v>
      </x:c>
      <x:c r="F752" t="str">
        <x:v>MarI0730</x:v>
      </x:c>
      <x:c r="G752" s="36" t="n">
        <x:v>46401</x:v>
      </x:c>
      <x:c r="H752" s="38" t="n">
        <x:v>56.639923200000005</x:v>
      </x:c>
      <x:c r="I752"/>
      <x:c r="J752" s="36"/>
      <x:c r="K752" s="38"/>
      <x:c r="L752"/>
      <x:c r="M752" s="36"/>
      <x:c r="N752" s="38"/>
      <x:c r="O752" s="38" t="n">
        <x:v>56.639923200000005</x:v>
      </x:c>
      <x:c r="P752" s="38" t="n">
        <x:v>0</x:v>
      </x:c>
      <x:c r="Q752" t="str">
        <x:v>OK</x:v>
      </x:c>
    </x:row>
    <x:row r="753">
      <x:c r="A753" s="36" t="n">
        <x:v>46262</x:v>
      </x:c>
      <x:c r="B753" t="str">
        <x:v>Trapus šakotis</x:v>
      </x:c>
      <x:c r="C753" t="str">
        <x:v>L356</x:v>
      </x:c>
      <x:c r="D753"/>
      <x:c r="E753" s="38"/>
      <x:c r="F753"/>
      <x:c r="G753" s="36"/>
      <x:c r="H753" s="38"/>
      <x:c r="I753"/>
      <x:c r="J753" s="36"/>
      <x:c r="K753" s="38"/>
      <x:c r="L753"/>
      <x:c r="M753" s="36"/>
      <x:c r="N753" s="38"/>
      <x:c r="O753" s="38"/>
      <x:c r="P753" s="38"/>
      <x:c r="Q753"/>
    </x:row>
    <x:row r="754">
      <x:c r="A754" s="36" t="n">
        <x:v>46262</x:v>
      </x:c>
      <x:c r="B754" t="str">
        <x:v>Trapus šakotis</x:v>
      </x:c>
      <x:c r="C754" t="str">
        <x:v>L356</x:v>
      </x:c>
      <x:c r="D754"/>
      <x:c r="E754" s="38"/>
      <x:c r="F754"/>
      <x:c r="G754" s="36"/>
      <x:c r="H754" s="38"/>
      <x:c r="I754"/>
      <x:c r="J754" s="36"/>
      <x:c r="K754" s="38"/>
      <x:c r="L754"/>
      <x:c r="M754" s="36"/>
      <x:c r="N754" s="38"/>
      <x:c r="O754" s="38"/>
      <x:c r="P754" s="38"/>
      <x:c r="Q754"/>
    </x:row>
    <x:row r="755">
      <x:c r="A755" s="36" t="n">
        <x:v>46262</x:v>
      </x:c>
      <x:c r="B755" t="str">
        <x:v>Trapus šakotis</x:v>
      </x:c>
      <x:c r="C755" t="str">
        <x:v>L356</x:v>
      </x:c>
      <x:c r="D755"/>
      <x:c r="E755" s="38"/>
      <x:c r="F755"/>
      <x:c r="G755" s="36"/>
      <x:c r="H755" s="38"/>
      <x:c r="I755"/>
      <x:c r="J755" s="36"/>
      <x:c r="K755" s="38"/>
      <x:c r="L755"/>
      <x:c r="M755" s="36"/>
      <x:c r="N755" s="38"/>
      <x:c r="O755" s="38"/>
      <x:c r="P755" s="38"/>
      <x:c r="Q755"/>
    </x:row>
    <x:row r="756">
      <x:c r="A756" s="36" t="n">
        <x:v>46265</x:v>
      </x:c>
      <x:c r="B756" t="str">
        <x:v>Šakotis</x:v>
      </x:c>
      <x:c r="C756" t="str">
        <x:v>L366</x:v>
      </x:c>
      <x:c r="D756" t="str">
        <x:v>Miltai</x:v>
      </x:c>
      <x:c r="E756" s="38" t="n">
        <x:v>113.199981888</x:v>
      </x:c>
      <x:c r="F756" t="str">
        <x:v>Mil0819</x:v>
      </x:c>
      <x:c r="G756" s="36" t="n">
        <x:v>46602</x:v>
      </x:c>
      <x:c r="H756" s="38" t="n">
        <x:v>60.73176252799931</x:v>
      </x:c>
      <x:c r="I756" t="str">
        <x:v>Mil0826</x:v>
      </x:c>
      <x:c r="J756" s="36" t="n">
        <x:v>46605</x:v>
      </x:c>
      <x:c r="K756" s="38" t="n">
        <x:v>52.46821936000069</x:v>
      </x:c>
      <x:c r="L756"/>
      <x:c r="M756" s="36"/>
      <x:c r="N756" s="38"/>
      <x:c r="O756" s="38" t="n">
        <x:v>113.199981888</x:v>
      </x:c>
      <x:c r="P756" s="38" t="n">
        <x:v>0</x:v>
      </x:c>
      <x:c r="Q756" t="str">
        <x:v>OK</x:v>
      </x:c>
    </x:row>
    <x:row r="757">
      <x:c r="A757" s="36" t="n">
        <x:v>46265</x:v>
      </x:c>
      <x:c r="B757" t="str">
        <x:v>Šakotis</x:v>
      </x:c>
      <x:c r="C757" t="str">
        <x:v>L366</x:v>
      </x:c>
      <x:c r="D757" t="str">
        <x:v>Pienas</x:v>
      </x:c>
      <x:c r="E757" s="38" t="n">
        <x:v>42.449993207999995</x:v>
      </x:c>
      <x:c r="F757" t="str">
        <x:v>P0826</x:v>
      </x:c>
      <x:c r="G757" s="36" t="n">
        <x:v>46266</x:v>
      </x:c>
      <x:c r="H757" s="38" t="n">
        <x:v>34.470936851999994</x:v>
      </x:c>
      <x:c r="I757" t="str">
        <x:v>P0831</x:v>
      </x:c>
      <x:c r="J757" s="36" t="n">
        <x:v>46269</x:v>
      </x:c>
      <x:c r="K757" s="38" t="n">
        <x:v>7.979056356000001</x:v>
      </x:c>
      <x:c r="L757"/>
      <x:c r="M757" s="36"/>
      <x:c r="N757" s="38"/>
      <x:c r="O757" s="38" t="n">
        <x:v>42.449993207999995</x:v>
      </x:c>
      <x:c r="P757" s="38" t="n">
        <x:v>0</x:v>
      </x:c>
      <x:c r="Q757" t="str">
        <x:v>OK</x:v>
      </x:c>
    </x:row>
    <x:row r="758">
      <x:c r="A758" s="36" t="n">
        <x:v>46265</x:v>
      </x:c>
      <x:c r="B758" t="str">
        <x:v>Šakotis</x:v>
      </x:c>
      <x:c r="C758" t="str">
        <x:v>L366</x:v>
      </x:c>
      <x:c r="D758" t="str">
        <x:v>Kiaušiniai</x:v>
      </x:c>
      <x:c r="E758" s="38" t="n">
        <x:v>155.64986415999996</x:v>
      </x:c>
      <x:c r="F758" t="str">
        <x:v>K0820</x:v>
      </x:c>
      <x:c r="G758" s="36" t="n">
        <x:v>46273</x:v>
      </x:c>
      <x:c r="H758" s="38" t="n">
        <x:v>155.64986415999996</x:v>
      </x:c>
      <x:c r="I758"/>
      <x:c r="J758" s="36"/>
      <x:c r="K758" s="38"/>
      <x:c r="L758"/>
      <x:c r="M758" s="36"/>
      <x:c r="N758" s="38"/>
      <x:c r="O758" s="38" t="n">
        <x:v>155.64986415999996</x:v>
      </x:c>
      <x:c r="P758" s="38" t="n">
        <x:v>0</x:v>
      </x:c>
      <x:c r="Q758" t="str">
        <x:v>OK</x:v>
      </x:c>
    </x:row>
    <x:row r="759">
      <x:c r="A759" s="36" t="n">
        <x:v>46265</x:v>
      </x:c>
      <x:c r="B759" t="str">
        <x:v>Šakotis</x:v>
      </x:c>
      <x:c r="C759" t="str">
        <x:v>L366</x:v>
      </x:c>
      <x:c r="D759" t="str">
        <x:v>Cukrus</x:v>
      </x:c>
      <x:c r="E759" s="38" t="n">
        <x:v>84.89998641599999</x:v>
      </x:c>
      <x:c r="F759" t="str">
        <x:v>Cuk0812</x:v>
      </x:c>
      <x:c r="G759" s="36" t="n">
        <x:v>46388</x:v>
      </x:c>
      <x:c r="H759" s="38" t="n">
        <x:v>84.89998641599999</x:v>
      </x:c>
      <x:c r="I759"/>
      <x:c r="J759" s="36"/>
      <x:c r="K759" s="38"/>
      <x:c r="L759"/>
      <x:c r="M759" s="36"/>
      <x:c r="N759" s="38"/>
      <x:c r="O759" s="38" t="n">
        <x:v>84.89998641599999</x:v>
      </x:c>
      <x:c r="P759" s="38" t="n">
        <x:v>0</x:v>
      </x:c>
      <x:c r="Q759" t="str">
        <x:v>OK</x:v>
      </x:c>
    </x:row>
    <x:row r="760">
      <x:c r="A760" s="36" t="n">
        <x:v>46265</x:v>
      </x:c>
      <x:c r="B760" t="str">
        <x:v>Šakotis</x:v>
      </x:c>
      <x:c r="C760" t="str">
        <x:v>L366</x:v>
      </x:c>
      <x:c r="D760" t="str">
        <x:v>Margarinas Šakočiui "Alvas"</x:v>
      </x:c>
      <x:c r="E760" s="38" t="n">
        <x:v>84.89998641599999</x:v>
      </x:c>
      <x:c r="F760" t="str">
        <x:v>MarA0730</x:v>
      </x:c>
      <x:c r="G760" s="36" t="n">
        <x:v>46322</x:v>
      </x:c>
      <x:c r="H760" s="38" t="n">
        <x:v>84.89998641599999</x:v>
      </x:c>
      <x:c r="I760"/>
      <x:c r="J760" s="36"/>
      <x:c r="K760" s="38"/>
      <x:c r="L760"/>
      <x:c r="M760" s="36"/>
      <x:c r="N760" s="38"/>
      <x:c r="O760" s="38" t="n">
        <x:v>84.89998641599999</x:v>
      </x:c>
      <x:c r="P760" s="38" t="n">
        <x:v>0</x:v>
      </x:c>
      <x:c r="Q760" t="str">
        <x:v>OK</x:v>
      </x:c>
    </x:row>
    <x:row r="761">
      <x:c r="A761" s="36" t="n">
        <x:v>46265</x:v>
      </x:c>
      <x:c r="B761" t="str">
        <x:v>Šakotis</x:v>
      </x:c>
      <x:c r="C761" t="str">
        <x:v>L366</x:v>
      </x:c>
      <x:c r="D761" t="str">
        <x:v>Kvapnioji medžiaga</x:v>
      </x:c>
      <x:c r="E761" s="38" t="n">
        <x:v>0.282997736</x:v>
      </x:c>
      <x:c r="F761" t="str">
        <x:v>Kvp0630</x:v>
      </x:c>
      <x:c r="G761" s="36" t="n">
        <x:v>46388</x:v>
      </x:c>
      <x:c r="H761" s="38" t="n">
        <x:v>0.282997736</x:v>
      </x:c>
      <x:c r="I761"/>
      <x:c r="J761" s="36"/>
      <x:c r="K761" s="38"/>
      <x:c r="L761"/>
      <x:c r="M761" s="36"/>
      <x:c r="N761" s="38"/>
      <x:c r="O761" s="38" t="n">
        <x:v>0.282997736</x:v>
      </x:c>
      <x:c r="P761" s="38" t="n">
        <x:v>0</x:v>
      </x:c>
      <x:c r="Q761" t="str">
        <x:v>OK</x:v>
      </x:c>
    </x:row>
    <x:row r="762">
      <x:c r="A762" s="36" t="n">
        <x:v>46265</x:v>
      </x:c>
      <x:c r="B762" t="str">
        <x:v>Šakotis</x:v>
      </x:c>
      <x:c r="C762" t="str">
        <x:v>L366</x:v>
      </x:c>
      <x:c r="D762" t="str">
        <x:v>Ciberžolė</x:v>
      </x:c>
      <x:c r="E762" s="38" t="n">
        <x:v>0.990492076</x:v>
      </x:c>
      <x:c r="F762" t="str">
        <x:v>Cib0805</x:v>
      </x:c>
      <x:c r="G762" s="36" t="n">
        <x:v>46895</x:v>
      </x:c>
      <x:c r="H762" s="38" t="n">
        <x:v>0.990492076</x:v>
      </x:c>
      <x:c r="I762"/>
      <x:c r="J762" s="36"/>
      <x:c r="K762" s="38"/>
      <x:c r="L762"/>
      <x:c r="M762" s="36"/>
      <x:c r="N762" s="38"/>
      <x:c r="O762" s="38" t="n">
        <x:v>0.990492076</x:v>
      </x:c>
      <x:c r="P762" s="38" t="n">
        <x:v>0</x:v>
      </x:c>
      <x:c r="Q762" t="str">
        <x:v>OK</x:v>
      </x:c>
    </x:row>
    <x:row r="763">
      <x:c r="A763" s="36" t="n">
        <x:v>46265</x:v>
      </x:c>
      <x:c r="B763" t="str">
        <x:v>Šakotis</x:v>
      </x:c>
      <x:c r="C763" t="str">
        <x:v>L366</x:v>
      </x:c>
      <x:c r="D763" t="str">
        <x:v>Vanduo</x:v>
      </x:c>
      <x:c r="E763" s="38" t="n">
        <x:v>14.147390739999999</x:v>
      </x:c>
      <x:c r="F763" t="str">
        <x:v>Netaikoma</x:v>
      </x:c>
      <x:c r="G763" s="36"/>
      <x:c r="H763" s="38" t="n">
        <x:v>14.147390739999999</x:v>
      </x:c>
      <x:c r="I763"/>
      <x:c r="J763" s="36"/>
      <x:c r="K763" s="38"/>
      <x:c r="L763"/>
      <x:c r="M763" s="36"/>
      <x:c r="N763" s="38"/>
      <x:c r="O763" s="38" t="n">
        <x:v>14.147390739999999</x:v>
      </x:c>
      <x:c r="P763" s="38" t="n">
        <x:v>0</x:v>
      </x:c>
      <x:c r="Q763" t="str">
        <x:v>OK</x:v>
      </x:c>
    </x:row>
    <x:row r="764">
      <x:c r="A764" s="36" t="n">
        <x:v>46265</x:v>
      </x:c>
      <x:c r="B764" t="str">
        <x:v>Trapus šakotis</x:v>
      </x:c>
      <x:c r="C764" t="str">
        <x:v>L366</x:v>
      </x:c>
      <x:c r="D764" t="str">
        <x:v>Miltai</x:v>
      </x:c>
      <x:c r="E764" s="38" t="n">
        <x:v>79.9999872</x:v>
      </x:c>
      <x:c r="F764" t="str">
        <x:v>Mil0826</x:v>
      </x:c>
      <x:c r="G764" s="36" t="n">
        <x:v>46605</x:v>
      </x:c>
      <x:c r="H764" s="38" t="n">
        <x:v>79.9999872</x:v>
      </x:c>
      <x:c r="I764"/>
      <x:c r="J764" s="36"/>
      <x:c r="K764" s="38"/>
      <x:c r="L764"/>
      <x:c r="M764" s="36"/>
      <x:c r="N764" s="38"/>
      <x:c r="O764" s="38" t="n">
        <x:v>79.9999872</x:v>
      </x:c>
      <x:c r="P764" s="38" t="n">
        <x:v>0</x:v>
      </x:c>
      <x:c r="Q764" t="str">
        <x:v>OK</x:v>
      </x:c>
    </x:row>
    <x:row r="765">
      <x:c r="A765" s="36" t="n">
        <x:v>46265</x:v>
      </x:c>
      <x:c r="B765" t="str">
        <x:v>Trapus šakotis</x:v>
      </x:c>
      <x:c r="C765" t="str">
        <x:v>L366</x:v>
      </x:c>
      <x:c r="D765" t="str">
        <x:v>Grietinės mišinys</x:v>
      </x:c>
      <x:c r="E765" s="38" t="n">
        <x:v>57.59999392</x:v>
      </x:c>
      <x:c r="F765" t="str">
        <x:v>Gr0831</x:v>
      </x:c>
      <x:c r="G765" s="36" t="n">
        <x:v>46274</x:v>
      </x:c>
      <x:c r="H765" s="38" t="n">
        <x:v>57.59999392</x:v>
      </x:c>
      <x:c r="I765"/>
      <x:c r="J765" s="36"/>
      <x:c r="K765" s="38"/>
      <x:c r="L765"/>
      <x:c r="M765" s="36"/>
      <x:c r="N765" s="38"/>
      <x:c r="O765" s="38" t="n">
        <x:v>57.59999392</x:v>
      </x:c>
      <x:c r="P765" s="38" t="n">
        <x:v>0</x:v>
      </x:c>
      <x:c r="Q765" t="str">
        <x:v>OK</x:v>
      </x:c>
    </x:row>
    <x:row r="766">
      <x:c r="A766" s="36" t="n">
        <x:v>46265</x:v>
      </x:c>
      <x:c r="B766" t="str">
        <x:v>Trapus šakotis</x:v>
      </x:c>
      <x:c r="C766" t="str">
        <x:v>L366</x:v>
      </x:c>
      <x:c r="D766" t="str">
        <x:v>Kiaušiniai</x:v>
      </x:c>
      <x:c r="E766" s="38" t="n">
        <x:v>79.9999872</x:v>
      </x:c>
      <x:c r="F766" t="str">
        <x:v>K0820</x:v>
      </x:c>
      <x:c r="G766" s="36" t="n">
        <x:v>46273</x:v>
      </x:c>
      <x:c r="H766" s="38" t="n">
        <x:v>79.9999872</x:v>
      </x:c>
      <x:c r="I766"/>
      <x:c r="J766" s="36"/>
      <x:c r="K766" s="38"/>
      <x:c r="L766"/>
      <x:c r="M766" s="36"/>
      <x:c r="N766" s="38"/>
      <x:c r="O766" s="38" t="n">
        <x:v>79.9999872</x:v>
      </x:c>
      <x:c r="P766" s="38" t="n">
        <x:v>0</x:v>
      </x:c>
      <x:c r="Q766" t="str">
        <x:v>OK</x:v>
      </x:c>
    </x:row>
    <x:row r="767">
      <x:c r="A767" s="36" t="n">
        <x:v>46265</x:v>
      </x:c>
      <x:c r="B767" t="str">
        <x:v>Trapus šakotis</x:v>
      </x:c>
      <x:c r="C767" t="str">
        <x:v>L366</x:v>
      </x:c>
      <x:c r="D767" t="str">
        <x:v>Cukrus</x:v>
      </x:c>
      <x:c r="E767" s="38" t="n">
        <x:v>47.999992320000004</x:v>
      </x:c>
      <x:c r="F767" t="str">
        <x:v>Cuk0812</x:v>
      </x:c>
      <x:c r="G767" s="36" t="n">
        <x:v>46388</x:v>
      </x:c>
      <x:c r="H767" s="38" t="n">
        <x:v>8.848757767999814</x:v>
      </x:c>
      <x:c r="I767" t="str">
        <x:v>Cuk0819</x:v>
      </x:c>
      <x:c r="J767" s="36" t="n">
        <x:v>46388</x:v>
      </x:c>
      <x:c r="K767" s="38" t="n">
        <x:v>39.15123455200019</x:v>
      </x:c>
      <x:c r="L767"/>
      <x:c r="M767" s="36"/>
      <x:c r="N767" s="38"/>
      <x:c r="O767" s="38" t="n">
        <x:v>47.999992320000004</x:v>
      </x:c>
      <x:c r="P767" s="38" t="n">
        <x:v>0</x:v>
      </x:c>
      <x:c r="Q767" t="str">
        <x:v>OK</x:v>
      </x:c>
    </x:row>
    <x:row r="768">
      <x:c r="A768" s="36" t="n">
        <x:v>46265</x:v>
      </x:c>
      <x:c r="B768" t="str">
        <x:v>Trapus šakotis</x:v>
      </x:c>
      <x:c r="C768" t="str">
        <x:v>L366</x:v>
      </x:c>
      <x:c r="D768" t="str">
        <x:v>Margarinas trapiam "IEVA"</x:v>
      </x:c>
      <x:c r="E768" s="38" t="n">
        <x:v>56.639923200000005</x:v>
      </x:c>
      <x:c r="F768" t="str">
        <x:v>MarI0730</x:v>
      </x:c>
      <x:c r="G768" s="36" t="n">
        <x:v>46401</x:v>
      </x:c>
      <x:c r="H768" s="38" t="n">
        <x:v>56.639923200000005</x:v>
      </x:c>
      <x:c r="I768"/>
      <x:c r="J768" s="36"/>
      <x:c r="K768" s="38"/>
      <x:c r="L768"/>
      <x:c r="M768" s="36"/>
      <x:c r="N768" s="38"/>
      <x:c r="O768" s="38" t="n">
        <x:v>56.639923200000005</x:v>
      </x:c>
      <x:c r="P768" s="38" t="n">
        <x:v>0</x:v>
      </x:c>
      <x:c r="Q768" t="str">
        <x:v>OK</x:v>
      </x:c>
    </x:row>
    <x:row r="769">
      <x:c r="A769" s="36" t="n">
        <x:v>46265</x:v>
      </x:c>
      <x:c r="B769" t="str">
        <x:v>Trapus šakotis</x:v>
      </x:c>
      <x:c r="C769" t="str">
        <x:v>L366</x:v>
      </x:c>
      <x:c r="D769"/>
      <x:c r="E769" s="38"/>
      <x:c r="F769"/>
      <x:c r="G769" s="36"/>
      <x:c r="H769" s="38"/>
      <x:c r="I769"/>
      <x:c r="J769" s="36"/>
      <x:c r="K769" s="38"/>
      <x:c r="L769"/>
      <x:c r="M769" s="36"/>
      <x:c r="N769" s="38"/>
      <x:c r="O769" s="38"/>
      <x:c r="P769" s="38"/>
      <x:c r="Q769"/>
    </x:row>
    <x:row r="770">
      <x:c r="A770" s="36" t="n">
        <x:v>46265</x:v>
      </x:c>
      <x:c r="B770" t="str">
        <x:v>Trapus šakotis</x:v>
      </x:c>
      <x:c r="C770" t="str">
        <x:v>L366</x:v>
      </x:c>
      <x:c r="D770"/>
      <x:c r="E770" s="38"/>
      <x:c r="F770"/>
      <x:c r="G770" s="36"/>
      <x:c r="H770" s="38"/>
      <x:c r="I770"/>
      <x:c r="J770" s="36"/>
      <x:c r="K770" s="38"/>
      <x:c r="L770"/>
      <x:c r="M770" s="36"/>
      <x:c r="N770" s="38"/>
      <x:c r="O770" s="38"/>
      <x:c r="P770" s="38"/>
      <x:c r="Q770"/>
    </x:row>
    <x:row r="771">
      <x:c r="A771" s="36" t="n">
        <x:v>46265</x:v>
      </x:c>
      <x:c r="B771" t="str">
        <x:v>Trapus šakotis</x:v>
      </x:c>
      <x:c r="C771" t="str">
        <x:v>L366</x:v>
      </x:c>
      <x:c r="D771"/>
      <x:c r="E771" s="38"/>
      <x:c r="F771"/>
      <x:c r="G771" s="36"/>
      <x:c r="H771" s="38"/>
      <x:c r="I771"/>
      <x:c r="J771" s="36"/>
      <x:c r="K771" s="38"/>
      <x:c r="L771"/>
      <x:c r="M771" s="36"/>
      <x:c r="N771" s="38"/>
      <x:c r="O771" s="38"/>
      <x:c r="P771" s="38"/>
      <x:c r="Q771"/>
    </x:row>
  </x:sheetData>
  <x:mergeCells>
    <x:mergeCell ref="A1:Q1"/>
    <x:mergeCell ref="A2:Q2"/>
  </x:mergeCells>
  <x:conditionalFormatting sqref="Q4:Q229">
    <x:cfRule type="expression" dxfId="6" priority="1">
      <x:formula>Q4="OK"</x:formula>
    </x:cfRule>
    <x:cfRule type="expression" dxfId="5" priority="2">
      <x:formula>AND(Q4&lt;&gt;"",Q4&lt;&gt;"OK")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24" customWidth="1"/>
    <x:col min="2" max="2" width="34" customWidth="1"/>
    <x:col min="3" max="3" width="22" customWidth="1"/>
    <x:col min="4" max="4" width="38" customWidth="1"/>
  </x:cols>
  <x:sheetData>
    <x:row r="1" ht="18">
      <x:c r="A1" s="17" t="s">
        <x:v>234</x:v>
      </x:c>
      <x:c r="B1" s="17"/>
      <x:c r="C1" s="17"/>
      <x:c r="D1" s="17"/>
    </x:row>
    <x:row r="2" ht="14.5">
      <x:c r="A2" s="18" t="s">
        <x:v>235</x:v>
      </x:c>
      <x:c r="B2" s="18"/>
      <x:c r="C2" s="18"/>
      <x:c r="D2" s="18"/>
    </x:row>
    <x:row r="3" ht="28">
      <x:c r="A3" s="1" t="s">
        <x:v>200</x:v>
      </x:c>
      <x:c r="B3" s="1" t="s">
        <x:v>3</x:v>
      </x:c>
      <x:c r="C3" s="1" t="s">
        <x:v>236</x:v>
      </x:c>
      <x:c r="D3" s="1" t="s">
        <x:v>237</x:v>
      </x:c>
    </x:row>
    <x:row r="4">
      <x:c r="A4" t="s">
        <x:v>205</x:v>
      </x:c>
      <x:c r="B4" t="s">
        <x:v>12</x:v>
      </x:c>
      <x:c r="C4" s="3">
        <x:v>0.4081632</x:v>
      </x:c>
      <x:c r="D4" s="3"/>
    </x:row>
    <x:row r="5">
      <x:c r="A5" t="s">
        <x:v>205</x:v>
      </x:c>
      <x:c r="B5" t="s">
        <x:v>15</x:v>
      </x:c>
      <x:c r="C5" s="3">
        <x:v>0.15306120000000001</x:v>
      </x:c>
      <x:c r="D5" s="3"/>
    </x:row>
    <x:row r="6">
      <x:c r="A6" t="s">
        <x:v>205</x:v>
      </x:c>
      <x:c r="B6" t="s">
        <x:v>17</x:v>
      </x:c>
      <x:c r="C6" s="3">
        <x:v>0.56122399999999995</x:v>
      </x:c>
      <x:c r="D6" s="3"/>
    </x:row>
    <x:row r="7">
      <x:c r="A7" t="s">
        <x:v>205</x:v>
      </x:c>
      <x:c r="B7" t="s">
        <x:v>23</x:v>
      </x:c>
      <x:c r="C7" s="3">
        <x:v>0.30612240000000002</x:v>
      </x:c>
      <x:c r="D7" s="3"/>
    </x:row>
    <x:row r="8">
      <x:c r="A8" t="s">
        <x:v>205</x:v>
      </x:c>
      <x:c r="B8" t="s">
        <x:v>28</x:v>
      </x:c>
      <x:c r="C8" s="3">
        <x:v>0.30612240000000002</x:v>
      </x:c>
      <x:c r="D8" s="3"/>
    </x:row>
    <x:row r="9">
      <x:c r="A9" t="s">
        <x:v>205</x:v>
      </x:c>
      <x:c r="B9" t="s">
        <x:v>34</x:v>
      </x:c>
      <x:c r="C9" s="3">
        <x:v>1.0204000000000001E-3</x:v>
      </x:c>
      <x:c r="D9" s="3"/>
    </x:row>
    <x:row r="10">
      <x:c r="A10" t="s">
        <x:v>205</x:v>
      </x:c>
      <x:c r="B10" t="s">
        <x:v>25</x:v>
      </x:c>
      <x:c r="C10" s="3">
        <x:v>3.5714000000000002E-3</x:v>
      </x:c>
      <x:c r="D10" s="3"/>
    </x:row>
    <x:row r="11">
      <x:c r="A11" t="s">
        <x:v>205</x:v>
      </x:c>
      <x:c r="B11" t="s">
        <x:v>238</x:v>
      </x:c>
      <x:c r="C11" s="3">
        <x:v>5.1011000000000001E-2</x:v>
      </x:c>
      <x:c r="D11" s="3"/>
    </x:row>
    <x:row r="12">
      <x:c r="A12" t="s">
        <x:v>207</x:v>
      </x:c>
      <x:c r="B12" t="s">
        <x:v>12</x:v>
      </x:c>
      <x:c r="C12" s="3">
        <x:v>0.51020399999999999</x:v>
      </x:c>
      <x:c r="D12" s="3"/>
    </x:row>
    <x:row r="13">
      <x:c r="A13" t="s">
        <x:v>207</x:v>
      </x:c>
      <x:c r="B13" t="s">
        <x:v>20</x:v>
      </x:c>
      <x:c r="C13" s="3">
        <x:v>0.36734689999999998</x:v>
      </x:c>
      <x:c r="D13" s="3"/>
    </x:row>
    <x:row r="14">
      <x:c r="A14" t="s">
        <x:v>207</x:v>
      </x:c>
      <x:c r="B14" t="s">
        <x:v>17</x:v>
      </x:c>
      <x:c r="C14" s="3">
        <x:v>0.51020399999999999</x:v>
      </x:c>
      <x:c r="D14" s="3"/>
    </x:row>
    <x:row r="15">
      <x:c r="A15" t="s">
        <x:v>207</x:v>
      </x:c>
      <x:c r="B15" t="s">
        <x:v>23</x:v>
      </x:c>
      <x:c r="C15" s="3">
        <x:v>0.30612240000000002</x:v>
      </x:c>
      <x:c r="D15" s="3"/>
    </x:row>
    <x:row r="16">
      <x:c r="A16" t="s">
        <x:v>207</x:v>
      </x:c>
      <x:c r="B16" t="s">
        <x:v>31</x:v>
      </x:c>
      <x:c r="C16" s="3">
        <x:v>0.36122399999999999</x:v>
      </x:c>
      <x:c r="D16" s="3"/>
    </x:row>
    <x:row r="17">
      <x:c r="A17" t="s">
        <x:v>209</x:v>
      </x:c>
      <x:c r="B17" t="s">
        <x:v>12</x:v>
      </x:c>
      <x:c r="C17" s="3">
        <x:v>0.4081632</x:v>
      </x:c>
      <x:c r="D17" s="3"/>
    </x:row>
    <x:row r="18">
      <x:c r="A18" t="s">
        <x:v>209</x:v>
      </x:c>
      <x:c r="B18" t="s">
        <x:v>15</x:v>
      </x:c>
      <x:c r="C18" s="3">
        <x:v>0.15306120000000001</x:v>
      </x:c>
      <x:c r="D18" s="3"/>
    </x:row>
    <x:row r="19">
      <x:c r="A19" t="s">
        <x:v>209</x:v>
      </x:c>
      <x:c r="B19" t="s">
        <x:v>17</x:v>
      </x:c>
      <x:c r="C19" s="3">
        <x:v>0.56122399999999995</x:v>
      </x:c>
      <x:c r="D19" s="3"/>
    </x:row>
    <x:row r="20">
      <x:c r="A20" t="s">
        <x:v>209</x:v>
      </x:c>
      <x:c r="B20" t="s">
        <x:v>23</x:v>
      </x:c>
      <x:c r="C20" s="3">
        <x:v>0.30612240000000002</x:v>
      </x:c>
      <x:c r="D20" s="3"/>
    </x:row>
    <x:row r="21">
      <x:c r="A21" t="s">
        <x:v>209</x:v>
      </x:c>
      <x:c r="B21" t="s">
        <x:v>37</x:v>
      </x:c>
      <x:c r="C21" s="3">
        <x:v>0.30612240000000002</x:v>
      </x:c>
      <x:c r="D21" s="3"/>
    </x:row>
    <x:row r="22">
      <x:c r="A22" t="s">
        <x:v>209</x:v>
      </x:c>
      <x:c r="B22" t="s">
        <x:v>34</x:v>
      </x:c>
      <x:c r="C22" s="3">
        <x:v>1.0204000000000001E-3</x:v>
      </x:c>
      <x:c r="D22" s="3"/>
    </x:row>
    <x:row r="23">
      <x:c r="A23" t="s">
        <x:v>209</x:v>
      </x:c>
      <x:c r="B23" t="s">
        <x:v>25</x:v>
      </x:c>
      <x:c r="C23" s="3">
        <x:v>3.5714000000000002E-3</x:v>
      </x:c>
      <x:c r="D23" s="3"/>
    </x:row>
    <x:row r="24">
      <x:c r="A24" t="s">
        <x:v>209</x:v>
      </x:c>
      <x:c r="B24" t="s">
        <x:v>238</x:v>
      </x:c>
      <x:c r="C24" s="3">
        <x:v>0.10204000000000001</x:v>
      </x:c>
      <x:c r="D24" s="3"/>
    </x:row>
    <x:row r="25">
      <x:c r="C25" s="7"/>
      <x:c r="D25" s="3"/>
    </x:row>
    <x:row r="26">
      <x:c r="C26" s="7"/>
      <x:c r="D26" s="3"/>
    </x:row>
    <x:row r="27">
      <x:c r="C27" s="7"/>
      <x:c r="D27" s="3"/>
    </x:row>
    <x:row r="28">
      <x:c r="C28" s="7"/>
      <x:c r="D28" s="3"/>
    </x:row>
    <x:row r="29">
      <x:c r="C29" s="7"/>
      <x:c r="D29" s="3"/>
    </x:row>
    <x:row r="30">
      <x:c r="C30" s="7"/>
      <x:c r="D30" s="3"/>
    </x:row>
    <x:row r="31">
      <x:c r="C31" s="7"/>
      <x:c r="D31" s="3"/>
    </x:row>
    <x:row r="32">
      <x:c r="C32" s="7"/>
      <x:c r="D32" s="3"/>
    </x:row>
    <x:row r="33">
      <x:c r="C33" s="7"/>
      <x:c r="D33" s="3"/>
    </x:row>
    <x:row r="34">
      <x:c r="C34" s="7"/>
      <x:c r="D34" s="3"/>
    </x:row>
    <x:row r="35">
      <x:c r="C35" s="7"/>
      <x:c r="D35" s="3"/>
    </x:row>
    <x:row r="36">
      <x:c r="C36" s="7"/>
      <x:c r="D36" s="3"/>
    </x:row>
    <x:row r="37">
      <x:c r="C37" s="7"/>
      <x:c r="D37" s="3"/>
    </x:row>
    <x:row r="38">
      <x:c r="C38" s="7"/>
      <x:c r="D38" s="3"/>
    </x:row>
    <x:row r="39">
      <x:c r="C39" s="7"/>
      <x:c r="D39" s="3"/>
    </x:row>
    <x:row r="40">
      <x:c r="C40" s="7"/>
      <x:c r="D40" s="3"/>
    </x:row>
    <x:row r="41">
      <x:c r="C41" s="7"/>
      <x:c r="D41" s="3"/>
    </x:row>
    <x:row r="42">
      <x:c r="C42" s="7"/>
      <x:c r="D42" s="3"/>
    </x:row>
    <x:row r="43">
      <x:c r="C43" s="7"/>
      <x:c r="D43" s="3"/>
    </x:row>
    <x:row r="44">
      <x:c r="C44" s="7"/>
      <x:c r="D44" s="3"/>
    </x:row>
    <x:row r="45">
      <x:c r="C45" s="7"/>
      <x:c r="D45" s="3"/>
    </x:row>
    <x:row r="46">
      <x:c r="C46" s="7"/>
      <x:c r="D46" s="3"/>
    </x:row>
    <x:row r="47">
      <x:c r="C47" s="7"/>
      <x:c r="D47" s="3"/>
    </x:row>
    <x:row r="48">
      <x:c r="C48" s="7"/>
      <x:c r="D48" s="3"/>
    </x:row>
    <x:row r="49">
      <x:c r="C49" s="7"/>
      <x:c r="D49" s="3"/>
    </x:row>
    <x:row r="50">
      <x:c r="C50" s="7"/>
      <x:c r="D50" s="3"/>
    </x:row>
    <x:row r="51">
      <x:c r="C51" s="7"/>
      <x:c r="D51" s="3"/>
    </x:row>
    <x:row r="52">
      <x:c r="C52" s="7"/>
      <x:c r="D52" s="3"/>
    </x:row>
    <x:row r="53">
      <x:c r="C53" s="7"/>
      <x:c r="D53" s="3"/>
    </x:row>
    <x:row r="54">
      <x:c r="C54" s="7"/>
      <x:c r="D54" s="3"/>
    </x:row>
    <x:row r="55">
      <x:c r="C55" s="7"/>
      <x:c r="D55" s="3"/>
    </x:row>
    <x:row r="56">
      <x:c r="C56" s="7"/>
      <x:c r="D56" s="3"/>
    </x:row>
    <x:row r="57">
      <x:c r="C57" s="7"/>
      <x:c r="D57" s="3"/>
    </x:row>
    <x:row r="58">
      <x:c r="C58" s="7"/>
      <x:c r="D58" s="3"/>
    </x:row>
    <x:row r="59">
      <x:c r="C59" s="7"/>
      <x:c r="D59" s="3"/>
    </x:row>
    <x:row r="60">
      <x:c r="C60" s="7"/>
      <x:c r="D60" s="3"/>
    </x:row>
    <x:row r="61">
      <x:c r="C61" s="7"/>
      <x:c r="D61" s="3"/>
    </x:row>
    <x:row r="62">
      <x:c r="C62" s="7"/>
      <x:c r="D62" s="3"/>
    </x:row>
    <x:row r="63">
      <x:c r="C63" s="7"/>
      <x:c r="D63" s="3"/>
    </x:row>
    <x:row r="64">
      <x:c r="C64" s="7"/>
      <x:c r="D64" s="3"/>
    </x:row>
    <x:row r="65">
      <x:c r="C65" s="7"/>
      <x:c r="D65" s="3"/>
    </x:row>
    <x:row r="66">
      <x:c r="C66" s="7"/>
      <x:c r="D66" s="3"/>
    </x:row>
    <x:row r="67">
      <x:c r="C67" s="7"/>
      <x:c r="D67" s="3"/>
    </x:row>
    <x:row r="68">
      <x:c r="C68" s="7"/>
      <x:c r="D68" s="3"/>
    </x:row>
    <x:row r="69">
      <x:c r="C69" s="7"/>
      <x:c r="D69" s="3"/>
    </x:row>
    <x:row r="70">
      <x:c r="C70" s="7"/>
      <x:c r="D70" s="3"/>
    </x:row>
    <x:row r="71">
      <x:c r="C71" s="7"/>
      <x:c r="D71" s="3"/>
    </x:row>
    <x:row r="72">
      <x:c r="C72" s="7"/>
      <x:c r="D72" s="3"/>
    </x:row>
    <x:row r="73">
      <x:c r="C73" s="7"/>
      <x:c r="D73" s="3"/>
    </x:row>
    <x:row r="74">
      <x:c r="C74" s="7"/>
      <x:c r="D74" s="3"/>
    </x:row>
    <x:row r="75">
      <x:c r="C75" s="7"/>
      <x:c r="D75" s="3"/>
    </x:row>
    <x:row r="76">
      <x:c r="C76" s="7"/>
      <x:c r="D76" s="3"/>
    </x:row>
    <x:row r="77">
      <x:c r="C77" s="7"/>
      <x:c r="D77" s="3"/>
    </x:row>
    <x:row r="78">
      <x:c r="C78" s="7"/>
      <x:c r="D78" s="3"/>
    </x:row>
    <x:row r="79">
      <x:c r="C79" s="7"/>
      <x:c r="D79" s="3"/>
    </x:row>
    <x:row r="80">
      <x:c r="C80" s="7"/>
      <x:c r="D80" s="3"/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13" customWidth="1"/>
    <x:col min="2" max="2" width="18" customWidth="1"/>
    <x:col min="3" max="3" width="34" customWidth="1"/>
    <x:col min="4" max="4" width="17" customWidth="1"/>
    <x:col min="5" max="5" width="14" customWidth="1"/>
    <x:col min="6" max="6" width="18" customWidth="1"/>
    <x:col min="7" max="7" width="22" customWidth="1"/>
    <x:col min="8" max="8" width="30" customWidth="1"/>
    <x:col min="9" max="9" width="15" customWidth="1"/>
    <x:col min="10" max="10" width="24" customWidth="1"/>
  </x:cols>
  <x:sheetData>
    <x:row r="1" ht="18">
      <x:c r="A1" s="17" t="s">
        <x:v>239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14.5">
      <x:c r="A2" s="18" t="s">
        <x:v>240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 ht="28">
      <x:c r="A3" s="1" t="s">
        <x:v>241</x:v>
      </x:c>
      <x:c r="B3" s="1" t="s">
        <x:v>242</x:v>
      </x:c>
      <x:c r="C3" s="1" t="s">
        <x:v>3</x:v>
      </x:c>
      <x:c r="D3" s="1" t="s">
        <x:v>5</x:v>
      </x:c>
      <x:c r="E3" s="1" t="s">
        <x:v>10</x:v>
      </x:c>
      <x:c r="F3" s="1" t="s">
        <x:v>243</x:v>
      </x:c>
      <x:c r="G3" s="1" t="s">
        <x:v>244</x:v>
      </x:c>
      <x:c r="H3" s="1" t="s">
        <x:v>237</x:v>
      </x:c>
      <x:c r="I3" s="1" t="s">
        <x:v>245</x:v>
      </x:c>
      <x:c r="J3" s="1" t="s">
        <x:v>246</x:v>
      </x:c>
    </x:row>
    <x:row r="4">
      <x:c r="A4" s="4"/>
      <x:c r="B4" s="3"/>
      <x:c r="C4" s="3"/>
      <x:c r="D4" s="3"/>
      <x:c r="E4" s="5"/>
      <x:c r="F4" s="3"/>
      <x:c r="G4" s="3"/>
      <x:c r="H4" s="3"/>
      <x:c r="I4" s="8" t="str">
        <x:f>IF($D4="","",IFERROR(INDEX('1 Žaliavų gavimas'!$G$4:$G$206,MATCH($D4,'1 Žaliavų gavimas'!$D$4:$D$206,0)),""))</x:f>
      </x:c>
      <x:c r="J4" s="2" t="str">
        <x:f>IF($D4="","",IF(IFERROR(INDEX('1 Žaliavų gavimas'!$B$4:$B$206,MATCH($D4,'1 Žaliavų gavimas'!$D$4:$D$206,0)),"")&lt;&gt;$C4,"PARTIJA NE TOS ŽALIAVOS",IF(AND($I4&lt;&gt;"",$I4&lt;$A4),"PASIBAIGĘS GALIOJIMAS","OK")))</x:f>
      </x:c>
    </x:row>
    <x:row r="5">
      <x:c r="A5" s="4"/>
      <x:c r="B5" s="3"/>
      <x:c r="C5" s="3"/>
      <x:c r="D5" s="3"/>
      <x:c r="E5" s="5"/>
      <x:c r="F5" s="3"/>
      <x:c r="G5" s="3"/>
      <x:c r="H5" s="3"/>
      <x:c r="I5" s="8" t="str">
        <x:f>IF($D5="","",IFERROR(INDEX('1 Žaliavų gavimas'!$G$4:$G$206,MATCH($D5,'1 Žaliavų gavimas'!$D$4:$D$206,0)),""))</x:f>
      </x:c>
      <x:c r="J5" s="2" t="str">
        <x:f>IF($D5="","",IF(IFERROR(INDEX('1 Žaliavų gavimas'!$B$4:$B$206,MATCH($D5,'1 Žaliavų gavimas'!$D$4:$D$206,0)),"")&lt;&gt;$C5,"PARTIJA NE TOS ŽALIAVOS",IF(AND($I5&lt;&gt;"",$I5&lt;$A5),"PASIBAIGĘS GALIOJIMAS","OK")))</x:f>
      </x:c>
    </x:row>
    <x:row r="6">
      <x:c r="A6" s="4"/>
      <x:c r="B6" s="3"/>
      <x:c r="C6" s="3"/>
      <x:c r="D6" s="3"/>
      <x:c r="E6" s="5"/>
      <x:c r="F6" s="3"/>
      <x:c r="G6" s="3"/>
      <x:c r="H6" s="3"/>
      <x:c r="I6" s="8" t="str">
        <x:f>IF($D6="","",IFERROR(INDEX('1 Žaliavų gavimas'!$G$4:$G$206,MATCH($D6,'1 Žaliavų gavimas'!$D$4:$D$206,0)),""))</x:f>
      </x:c>
      <x:c r="J6" s="2" t="str">
        <x:f>IF($D6="","",IF(IFERROR(INDEX('1 Žaliavų gavimas'!$B$4:$B$206,MATCH($D6,'1 Žaliavų gavimas'!$D$4:$D$206,0)),"")&lt;&gt;$C6,"PARTIJA NE TOS ŽALIAVOS",IF(AND($I6&lt;&gt;"",$I6&lt;$A6),"PASIBAIGĘS GALIOJIMAS","OK")))</x:f>
      </x:c>
    </x:row>
    <x:row r="7">
      <x:c r="A7" s="4"/>
      <x:c r="B7" s="3"/>
      <x:c r="C7" s="3"/>
      <x:c r="D7" s="3"/>
      <x:c r="E7" s="5"/>
      <x:c r="F7" s="3"/>
      <x:c r="G7" s="3"/>
      <x:c r="H7" s="3"/>
      <x:c r="I7" s="8" t="str">
        <x:f>IF($D7="","",IFERROR(INDEX('1 Žaliavų gavimas'!$G$4:$G$206,MATCH($D7,'1 Žaliavų gavimas'!$D$4:$D$206,0)),""))</x:f>
      </x:c>
      <x:c r="J7" s="2" t="str">
        <x:f>IF($D7="","",IF(IFERROR(INDEX('1 Žaliavų gavimas'!$B$4:$B$206,MATCH($D7,'1 Žaliavų gavimas'!$D$4:$D$206,0)),"")&lt;&gt;$C7,"PARTIJA NE TOS ŽALIAVOS",IF(AND($I7&lt;&gt;"",$I7&lt;$A7),"PASIBAIGĘS GALIOJIMAS","OK")))</x:f>
      </x:c>
    </x:row>
    <x:row r="8">
      <x:c r="A8" s="4"/>
      <x:c r="B8" s="3"/>
      <x:c r="C8" s="3"/>
      <x:c r="D8" s="3"/>
      <x:c r="E8" s="5"/>
      <x:c r="F8" s="3"/>
      <x:c r="G8" s="3"/>
      <x:c r="H8" s="3"/>
      <x:c r="I8" s="8" t="str">
        <x:f>IF($D8="","",IFERROR(INDEX('1 Žaliavų gavimas'!$G$4:$G$206,MATCH($D8,'1 Žaliavų gavimas'!$D$4:$D$206,0)),""))</x:f>
      </x:c>
      <x:c r="J8" s="2" t="str">
        <x:f>IF($D8="","",IF(IFERROR(INDEX('1 Žaliavų gavimas'!$B$4:$B$206,MATCH($D8,'1 Žaliavų gavimas'!$D$4:$D$206,0)),"")&lt;&gt;$C8,"PARTIJA NE TOS ŽALIAVOS",IF(AND($I8&lt;&gt;"",$I8&lt;$A8),"PASIBAIGĘS GALIOJIMAS","OK")))</x:f>
      </x:c>
    </x:row>
    <x:row r="9">
      <x:c r="A9" s="4"/>
      <x:c r="B9" s="3"/>
      <x:c r="C9" s="3"/>
      <x:c r="D9" s="3"/>
      <x:c r="E9" s="5"/>
      <x:c r="F9" s="3"/>
      <x:c r="G9" s="3"/>
      <x:c r="H9" s="3"/>
      <x:c r="I9" s="8" t="str">
        <x:f>IF($D9="","",IFERROR(INDEX('1 Žaliavų gavimas'!$G$4:$G$206,MATCH($D9,'1 Žaliavų gavimas'!$D$4:$D$206,0)),""))</x:f>
      </x:c>
      <x:c r="J9" s="2" t="str">
        <x:f>IF($D9="","",IF(IFERROR(INDEX('1 Žaliavų gavimas'!$B$4:$B$206,MATCH($D9,'1 Žaliavų gavimas'!$D$4:$D$206,0)),"")&lt;&gt;$C9,"PARTIJA NE TOS ŽALIAVOS",IF(AND($I9&lt;&gt;"",$I9&lt;$A9),"PASIBAIGĘS GALIOJIMAS","OK")))</x:f>
      </x:c>
    </x:row>
    <x:row r="10">
      <x:c r="A10" s="4"/>
      <x:c r="B10" s="3"/>
      <x:c r="C10" s="3"/>
      <x:c r="D10" s="3"/>
      <x:c r="E10" s="5"/>
      <x:c r="F10" s="3"/>
      <x:c r="G10" s="3"/>
      <x:c r="H10" s="3"/>
      <x:c r="I10" s="8" t="str">
        <x:f>IF($D10="","",IFERROR(INDEX('1 Žaliavų gavimas'!$G$4:$G$206,MATCH($D10,'1 Žaliavų gavimas'!$D$4:$D$206,0)),""))</x:f>
      </x:c>
      <x:c r="J10" s="2" t="str">
        <x:f>IF($D10="","",IF(IFERROR(INDEX('1 Žaliavų gavimas'!$B$4:$B$206,MATCH($D10,'1 Žaliavų gavimas'!$D$4:$D$206,0)),"")&lt;&gt;$C10,"PARTIJA NE TOS ŽALIAVOS",IF(AND($I10&lt;&gt;"",$I10&lt;$A10),"PASIBAIGĘS GALIOJIMAS","OK")))</x:f>
      </x:c>
    </x:row>
    <x:row r="11">
      <x:c r="A11" s="4"/>
      <x:c r="B11" s="3"/>
      <x:c r="C11" s="3"/>
      <x:c r="D11" s="3"/>
      <x:c r="E11" s="5"/>
      <x:c r="F11" s="3"/>
      <x:c r="G11" s="3"/>
      <x:c r="H11" s="3"/>
      <x:c r="I11" s="8" t="str">
        <x:f>IF($D11="","",IFERROR(INDEX('1 Žaliavų gavimas'!$G$4:$G$206,MATCH($D11,'1 Žaliavų gavimas'!$D$4:$D$206,0)),""))</x:f>
      </x:c>
      <x:c r="J11" s="2" t="str">
        <x:f>IF($D11="","",IF(IFERROR(INDEX('1 Žaliavų gavimas'!$B$4:$B$206,MATCH($D11,'1 Žaliavų gavimas'!$D$4:$D$206,0)),"")&lt;&gt;$C11,"PARTIJA NE TOS ŽALIAVOS",IF(AND($I11&lt;&gt;"",$I11&lt;$A11),"PASIBAIGĘS GALIOJIMAS","OK")))</x:f>
      </x:c>
    </x:row>
    <x:row r="12">
      <x:c r="A12" s="4"/>
      <x:c r="B12" s="3"/>
      <x:c r="C12" s="3"/>
      <x:c r="D12" s="3"/>
      <x:c r="E12" s="5"/>
      <x:c r="F12" s="3"/>
      <x:c r="G12" s="3"/>
      <x:c r="H12" s="3"/>
      <x:c r="I12" s="8" t="str">
        <x:f>IF($D12="","",IFERROR(INDEX('1 Žaliavų gavimas'!$G$4:$G$206,MATCH($D12,'1 Žaliavų gavimas'!$D$4:$D$206,0)),""))</x:f>
      </x:c>
      <x:c r="J12" s="2" t="str">
        <x:f>IF($D12="","",IF(IFERROR(INDEX('1 Žaliavų gavimas'!$B$4:$B$206,MATCH($D12,'1 Žaliavų gavimas'!$D$4:$D$206,0)),"")&lt;&gt;$C12,"PARTIJA NE TOS ŽALIAVOS",IF(AND($I12&lt;&gt;"",$I12&lt;$A12),"PASIBAIGĘS GALIOJIMAS","OK")))</x:f>
      </x:c>
    </x:row>
    <x:row r="13">
      <x:c r="A13" s="4"/>
      <x:c r="B13" s="3"/>
      <x:c r="C13" s="3"/>
      <x:c r="D13" s="3"/>
      <x:c r="E13" s="5"/>
      <x:c r="F13" s="3"/>
      <x:c r="G13" s="3"/>
      <x:c r="H13" s="3"/>
      <x:c r="I13" s="8" t="str">
        <x:f>IF($D13="","",IFERROR(INDEX('1 Žaliavų gavimas'!$G$4:$G$206,MATCH($D13,'1 Žaliavų gavimas'!$D$4:$D$206,0)),""))</x:f>
      </x:c>
      <x:c r="J13" s="2" t="str">
        <x:f>IF($D13="","",IF(IFERROR(INDEX('1 Žaliavų gavimas'!$B$4:$B$206,MATCH($D13,'1 Žaliavų gavimas'!$D$4:$D$206,0)),"")&lt;&gt;$C13,"PARTIJA NE TOS ŽALIAVOS",IF(AND($I13&lt;&gt;"",$I13&lt;$A13),"PASIBAIGĘS GALIOJIMAS","OK")))</x:f>
      </x:c>
    </x:row>
    <x:row r="14">
      <x:c r="A14" s="4"/>
      <x:c r="B14" s="3"/>
      <x:c r="C14" s="3"/>
      <x:c r="D14" s="3"/>
      <x:c r="E14" s="5"/>
      <x:c r="F14" s="3"/>
      <x:c r="G14" s="3"/>
      <x:c r="H14" s="3"/>
      <x:c r="I14" s="8" t="str">
        <x:f>IF($D14="","",IFERROR(INDEX('1 Žaliavų gavimas'!$G$4:$G$206,MATCH($D14,'1 Žaliavų gavimas'!$D$4:$D$206,0)),""))</x:f>
      </x:c>
      <x:c r="J14" s="2" t="str">
        <x:f>IF($D14="","",IF(IFERROR(INDEX('1 Žaliavų gavimas'!$B$4:$B$206,MATCH($D14,'1 Žaliavų gavimas'!$D$4:$D$206,0)),"")&lt;&gt;$C14,"PARTIJA NE TOS ŽALIAVOS",IF(AND($I14&lt;&gt;"",$I14&lt;$A14),"PASIBAIGĘS GALIOJIMAS","OK")))</x:f>
      </x:c>
    </x:row>
    <x:row r="15">
      <x:c r="A15" s="4"/>
      <x:c r="B15" s="3"/>
      <x:c r="C15" s="3"/>
      <x:c r="D15" s="3"/>
      <x:c r="E15" s="5"/>
      <x:c r="F15" s="3"/>
      <x:c r="G15" s="3"/>
      <x:c r="H15" s="3"/>
      <x:c r="I15" s="8" t="str">
        <x:f>IF($D15="","",IFERROR(INDEX('1 Žaliavų gavimas'!$G$4:$G$206,MATCH($D15,'1 Žaliavų gavimas'!$D$4:$D$206,0)),""))</x:f>
      </x:c>
      <x:c r="J15" s="2" t="str">
        <x:f>IF($D15="","",IF(IFERROR(INDEX('1 Žaliavų gavimas'!$B$4:$B$206,MATCH($D15,'1 Žaliavų gavimas'!$D$4:$D$206,0)),"")&lt;&gt;$C15,"PARTIJA NE TOS ŽALIAVOS",IF(AND($I15&lt;&gt;"",$I15&lt;$A15),"PASIBAIGĘS GALIOJIMAS","OK")))</x:f>
      </x:c>
    </x:row>
    <x:row r="16">
      <x:c r="A16" s="4"/>
      <x:c r="B16" s="3"/>
      <x:c r="C16" s="3"/>
      <x:c r="D16" s="3"/>
      <x:c r="E16" s="5"/>
      <x:c r="F16" s="3"/>
      <x:c r="G16" s="3"/>
      <x:c r="H16" s="3"/>
      <x:c r="I16" s="8" t="str">
        <x:f>IF($D16="","",IFERROR(INDEX('1 Žaliavų gavimas'!$G$4:$G$206,MATCH($D16,'1 Žaliavų gavimas'!$D$4:$D$206,0)),""))</x:f>
      </x:c>
      <x:c r="J16" s="2" t="str">
        <x:f>IF($D16="","",IF(IFERROR(INDEX('1 Žaliavų gavimas'!$B$4:$B$206,MATCH($D16,'1 Žaliavų gavimas'!$D$4:$D$206,0)),"")&lt;&gt;$C16,"PARTIJA NE TOS ŽALIAVOS",IF(AND($I16&lt;&gt;"",$I16&lt;$A16),"PASIBAIGĘS GALIOJIMAS","OK")))</x:f>
      </x:c>
    </x:row>
    <x:row r="17">
      <x:c r="A17" s="4"/>
      <x:c r="B17" s="3"/>
      <x:c r="C17" s="3"/>
      <x:c r="D17" s="3"/>
      <x:c r="E17" s="5"/>
      <x:c r="F17" s="3"/>
      <x:c r="G17" s="3"/>
      <x:c r="H17" s="3"/>
      <x:c r="I17" s="8" t="str">
        <x:f>IF($D17="","",IFERROR(INDEX('1 Žaliavų gavimas'!$G$4:$G$206,MATCH($D17,'1 Žaliavų gavimas'!$D$4:$D$206,0)),""))</x:f>
      </x:c>
      <x:c r="J17" s="2" t="str">
        <x:f>IF($D17="","",IF(IFERROR(INDEX('1 Žaliavų gavimas'!$B$4:$B$206,MATCH($D17,'1 Žaliavų gavimas'!$D$4:$D$206,0)),"")&lt;&gt;$C17,"PARTIJA NE TOS ŽALIAVOS",IF(AND($I17&lt;&gt;"",$I17&lt;$A17),"PASIBAIGĘS GALIOJIMAS","OK")))</x:f>
      </x:c>
    </x:row>
    <x:row r="18">
      <x:c r="A18" s="4"/>
      <x:c r="B18" s="3"/>
      <x:c r="C18" s="3"/>
      <x:c r="D18" s="3"/>
      <x:c r="E18" s="5"/>
      <x:c r="F18" s="3"/>
      <x:c r="G18" s="3"/>
      <x:c r="H18" s="3"/>
      <x:c r="I18" s="8" t="str">
        <x:f>IF($D18="","",IFERROR(INDEX('1 Žaliavų gavimas'!$G$4:$G$206,MATCH($D18,'1 Žaliavų gavimas'!$D$4:$D$206,0)),""))</x:f>
      </x:c>
      <x:c r="J18" s="2" t="str">
        <x:f>IF($D18="","",IF(IFERROR(INDEX('1 Žaliavų gavimas'!$B$4:$B$206,MATCH($D18,'1 Žaliavų gavimas'!$D$4:$D$206,0)),"")&lt;&gt;$C18,"PARTIJA NE TOS ŽALIAVOS",IF(AND($I18&lt;&gt;"",$I18&lt;$A18),"PASIBAIGĘS GALIOJIMAS","OK")))</x:f>
      </x:c>
    </x:row>
    <x:row r="19">
      <x:c r="A19" s="4"/>
      <x:c r="B19" s="3"/>
      <x:c r="C19" s="3"/>
      <x:c r="D19" s="3"/>
      <x:c r="E19" s="5"/>
      <x:c r="F19" s="3"/>
      <x:c r="G19" s="3"/>
      <x:c r="H19" s="3"/>
      <x:c r="I19" s="8" t="str">
        <x:f>IF($D19="","",IFERROR(INDEX('1 Žaliavų gavimas'!$G$4:$G$206,MATCH($D19,'1 Žaliavų gavimas'!$D$4:$D$206,0)),""))</x:f>
      </x:c>
      <x:c r="J19" s="2" t="str">
        <x:f>IF($D19="","",IF(IFERROR(INDEX('1 Žaliavų gavimas'!$B$4:$B$206,MATCH($D19,'1 Žaliavų gavimas'!$D$4:$D$206,0)),"")&lt;&gt;$C19,"PARTIJA NE TOS ŽALIAVOS",IF(AND($I19&lt;&gt;"",$I19&lt;$A19),"PASIBAIGĘS GALIOJIMAS","OK")))</x:f>
      </x:c>
    </x:row>
    <x:row r="20">
      <x:c r="A20" s="4"/>
      <x:c r="B20" s="3"/>
      <x:c r="C20" s="3"/>
      <x:c r="D20" s="3"/>
      <x:c r="E20" s="5"/>
      <x:c r="F20" s="3"/>
      <x:c r="G20" s="3"/>
      <x:c r="H20" s="3"/>
      <x:c r="I20" s="8" t="str">
        <x:f>IF($D20="","",IFERROR(INDEX('1 Žaliavų gavimas'!$G$4:$G$206,MATCH($D20,'1 Žaliavų gavimas'!$D$4:$D$206,0)),""))</x:f>
      </x:c>
      <x:c r="J20" s="2" t="str">
        <x:f>IF($D20="","",IF(IFERROR(INDEX('1 Žaliavų gavimas'!$B$4:$B$206,MATCH($D20,'1 Žaliavų gavimas'!$D$4:$D$206,0)),"")&lt;&gt;$C20,"PARTIJA NE TOS ŽALIAVOS",IF(AND($I20&lt;&gt;"",$I20&lt;$A20),"PASIBAIGĘS GALIOJIMAS","OK")))</x:f>
      </x:c>
    </x:row>
    <x:row r="21">
      <x:c r="A21" s="4"/>
      <x:c r="B21" s="3"/>
      <x:c r="C21" s="3"/>
      <x:c r="D21" s="3"/>
      <x:c r="E21" s="5"/>
      <x:c r="F21" s="3"/>
      <x:c r="G21" s="3"/>
      <x:c r="H21" s="3"/>
      <x:c r="I21" s="8" t="str">
        <x:f>IF($D21="","",IFERROR(INDEX('1 Žaliavų gavimas'!$G$4:$G$206,MATCH($D21,'1 Žaliavų gavimas'!$D$4:$D$206,0)),""))</x:f>
      </x:c>
      <x:c r="J21" s="2" t="str">
        <x:f>IF($D21="","",IF(IFERROR(INDEX('1 Žaliavų gavimas'!$B$4:$B$206,MATCH($D21,'1 Žaliavų gavimas'!$D$4:$D$206,0)),"")&lt;&gt;$C21,"PARTIJA NE TOS ŽALIAVOS",IF(AND($I21&lt;&gt;"",$I21&lt;$A21),"PASIBAIGĘS GALIOJIMAS","OK")))</x:f>
      </x:c>
    </x:row>
    <x:row r="22">
      <x:c r="A22" s="4"/>
      <x:c r="B22" s="3"/>
      <x:c r="C22" s="3"/>
      <x:c r="D22" s="3"/>
      <x:c r="E22" s="5"/>
      <x:c r="F22" s="3"/>
      <x:c r="G22" s="3"/>
      <x:c r="H22" s="3"/>
      <x:c r="I22" s="8" t="str">
        <x:f>IF($D22="","",IFERROR(INDEX('1 Žaliavų gavimas'!$G$4:$G$206,MATCH($D22,'1 Žaliavų gavimas'!$D$4:$D$206,0)),""))</x:f>
      </x:c>
      <x:c r="J22" s="2" t="str">
        <x:f>IF($D22="","",IF(IFERROR(INDEX('1 Žaliavų gavimas'!$B$4:$B$206,MATCH($D22,'1 Žaliavų gavimas'!$D$4:$D$206,0)),"")&lt;&gt;$C22,"PARTIJA NE TOS ŽALIAVOS",IF(AND($I22&lt;&gt;"",$I22&lt;$A22),"PASIBAIGĘS GALIOJIMAS","OK")))</x:f>
      </x:c>
    </x:row>
    <x:row r="23">
      <x:c r="A23" s="4"/>
      <x:c r="B23" s="3"/>
      <x:c r="C23" s="3"/>
      <x:c r="D23" s="3"/>
      <x:c r="E23" s="5"/>
      <x:c r="F23" s="3"/>
      <x:c r="G23" s="3"/>
      <x:c r="H23" s="3"/>
      <x:c r="I23" s="8" t="str">
        <x:f>IF($D23="","",IFERROR(INDEX('1 Žaliavų gavimas'!$G$4:$G$206,MATCH($D23,'1 Žaliavų gavimas'!$D$4:$D$206,0)),""))</x:f>
      </x:c>
      <x:c r="J23" s="2" t="str">
        <x:f>IF($D23="","",IF(IFERROR(INDEX('1 Žaliavų gavimas'!$B$4:$B$206,MATCH($D23,'1 Žaliavų gavimas'!$D$4:$D$206,0)),"")&lt;&gt;$C23,"PARTIJA NE TOS ŽALIAVOS",IF(AND($I23&lt;&gt;"",$I23&lt;$A23),"PASIBAIGĘS GALIOJIMAS","OK")))</x:f>
      </x:c>
    </x:row>
    <x:row r="24">
      <x:c r="A24" s="4"/>
      <x:c r="B24" s="3"/>
      <x:c r="C24" s="3"/>
      <x:c r="D24" s="3"/>
      <x:c r="E24" s="5"/>
      <x:c r="F24" s="3"/>
      <x:c r="G24" s="3"/>
      <x:c r="H24" s="3"/>
      <x:c r="I24" s="8" t="str">
        <x:f>IF($D24="","",IFERROR(INDEX('1 Žaliavų gavimas'!$G$4:$G$206,MATCH($D24,'1 Žaliavų gavimas'!$D$4:$D$206,0)),""))</x:f>
      </x:c>
      <x:c r="J24" s="2" t="str">
        <x:f>IF($D24="","",IF(IFERROR(INDEX('1 Žaliavų gavimas'!$B$4:$B$206,MATCH($D24,'1 Žaliavų gavimas'!$D$4:$D$206,0)),"")&lt;&gt;$C24,"PARTIJA NE TOS ŽALIAVOS",IF(AND($I24&lt;&gt;"",$I24&lt;$A24),"PASIBAIGĘS GALIOJIMAS","OK")))</x:f>
      </x:c>
    </x:row>
    <x:row r="25">
      <x:c r="A25" s="4"/>
      <x:c r="B25" s="3"/>
      <x:c r="C25" s="3"/>
      <x:c r="D25" s="3"/>
      <x:c r="E25" s="5"/>
      <x:c r="F25" s="3"/>
      <x:c r="G25" s="3"/>
      <x:c r="H25" s="3"/>
      <x:c r="I25" s="8" t="str">
        <x:f>IF($D25="","",IFERROR(INDEX('1 Žaliavų gavimas'!$G$4:$G$206,MATCH($D25,'1 Žaliavų gavimas'!$D$4:$D$206,0)),""))</x:f>
      </x:c>
      <x:c r="J25" s="2" t="str">
        <x:f>IF($D25="","",IF(IFERROR(INDEX('1 Žaliavų gavimas'!$B$4:$B$206,MATCH($D25,'1 Žaliavų gavimas'!$D$4:$D$206,0)),"")&lt;&gt;$C25,"PARTIJA NE TOS ŽALIAVOS",IF(AND($I25&lt;&gt;"",$I25&lt;$A25),"PASIBAIGĘS GALIOJIMAS","OK")))</x:f>
      </x:c>
    </x:row>
    <x:row r="26">
      <x:c r="A26" s="4"/>
      <x:c r="B26" s="3"/>
      <x:c r="C26" s="3"/>
      <x:c r="D26" s="3"/>
      <x:c r="E26" s="5"/>
      <x:c r="F26" s="3"/>
      <x:c r="G26" s="3"/>
      <x:c r="H26" s="3"/>
      <x:c r="I26" s="8" t="str">
        <x:f>IF($D26="","",IFERROR(INDEX('1 Žaliavų gavimas'!$G$4:$G$206,MATCH($D26,'1 Žaliavų gavimas'!$D$4:$D$206,0)),""))</x:f>
      </x:c>
      <x:c r="J26" s="2" t="str">
        <x:f>IF($D26="","",IF(IFERROR(INDEX('1 Žaliavų gavimas'!$B$4:$B$206,MATCH($D26,'1 Žaliavų gavimas'!$D$4:$D$206,0)),"")&lt;&gt;$C26,"PARTIJA NE TOS ŽALIAVOS",IF(AND($I26&lt;&gt;"",$I26&lt;$A26),"PASIBAIGĘS GALIOJIMAS","OK")))</x:f>
      </x:c>
    </x:row>
    <x:row r="27">
      <x:c r="A27" s="4"/>
      <x:c r="B27" s="3"/>
      <x:c r="C27" s="3"/>
      <x:c r="D27" s="3"/>
      <x:c r="E27" s="5"/>
      <x:c r="F27" s="3"/>
      <x:c r="G27" s="3"/>
      <x:c r="H27" s="3"/>
      <x:c r="I27" s="8" t="str">
        <x:f>IF($D27="","",IFERROR(INDEX('1 Žaliavų gavimas'!$G$4:$G$206,MATCH($D27,'1 Žaliavų gavimas'!$D$4:$D$206,0)),""))</x:f>
      </x:c>
      <x:c r="J27" s="2" t="str">
        <x:f>IF($D27="","",IF(IFERROR(INDEX('1 Žaliavų gavimas'!$B$4:$B$206,MATCH($D27,'1 Žaliavų gavimas'!$D$4:$D$206,0)),"")&lt;&gt;$C27,"PARTIJA NE TOS ŽALIAVOS",IF(AND($I27&lt;&gt;"",$I27&lt;$A27),"PASIBAIGĘS GALIOJIMAS","OK")))</x:f>
      </x:c>
    </x:row>
    <x:row r="28">
      <x:c r="A28" s="4"/>
      <x:c r="B28" s="3"/>
      <x:c r="C28" s="3"/>
      <x:c r="D28" s="3"/>
      <x:c r="E28" s="5"/>
      <x:c r="F28" s="3"/>
      <x:c r="G28" s="3"/>
      <x:c r="H28" s="3"/>
      <x:c r="I28" s="8" t="str">
        <x:f>IF($D28="","",IFERROR(INDEX('1 Žaliavų gavimas'!$G$4:$G$206,MATCH($D28,'1 Žaliavų gavimas'!$D$4:$D$206,0)),""))</x:f>
      </x:c>
      <x:c r="J28" s="2" t="str">
        <x:f>IF($D28="","",IF(IFERROR(INDEX('1 Žaliavų gavimas'!$B$4:$B$206,MATCH($D28,'1 Žaliavų gavimas'!$D$4:$D$206,0)),"")&lt;&gt;$C28,"PARTIJA NE TOS ŽALIAVOS",IF(AND($I28&lt;&gt;"",$I28&lt;$A28),"PASIBAIGĘS GALIOJIMAS","OK")))</x:f>
      </x:c>
    </x:row>
    <x:row r="29">
      <x:c r="A29" s="4"/>
      <x:c r="B29" s="3"/>
      <x:c r="C29" s="3"/>
      <x:c r="D29" s="3"/>
      <x:c r="E29" s="5"/>
      <x:c r="F29" s="3"/>
      <x:c r="G29" s="3"/>
      <x:c r="H29" s="3"/>
      <x:c r="I29" s="8" t="str">
        <x:f>IF($D29="","",IFERROR(INDEX('1 Žaliavų gavimas'!$G$4:$G$206,MATCH($D29,'1 Žaliavų gavimas'!$D$4:$D$206,0)),""))</x:f>
      </x:c>
      <x:c r="J29" s="2" t="str">
        <x:f>IF($D29="","",IF(IFERROR(INDEX('1 Žaliavų gavimas'!$B$4:$B$206,MATCH($D29,'1 Žaliavų gavimas'!$D$4:$D$206,0)),"")&lt;&gt;$C29,"PARTIJA NE TOS ŽALIAVOS",IF(AND($I29&lt;&gt;"",$I29&lt;$A29),"PASIBAIGĘS GALIOJIMAS","OK")))</x:f>
      </x:c>
    </x:row>
    <x:row r="30">
      <x:c r="A30" s="4"/>
      <x:c r="B30" s="3"/>
      <x:c r="C30" s="3"/>
      <x:c r="D30" s="3"/>
      <x:c r="E30" s="5"/>
      <x:c r="F30" s="3"/>
      <x:c r="G30" s="3"/>
      <x:c r="H30" s="3"/>
      <x:c r="I30" s="8" t="str">
        <x:f>IF($D30="","",IFERROR(INDEX('1 Žaliavų gavimas'!$G$4:$G$206,MATCH($D30,'1 Žaliavų gavimas'!$D$4:$D$206,0)),""))</x:f>
      </x:c>
      <x:c r="J30" s="2" t="str">
        <x:f>IF($D30="","",IF(IFERROR(INDEX('1 Žaliavų gavimas'!$B$4:$B$206,MATCH($D30,'1 Žaliavų gavimas'!$D$4:$D$206,0)),"")&lt;&gt;$C30,"PARTIJA NE TOS ŽALIAVOS",IF(AND($I30&lt;&gt;"",$I30&lt;$A30),"PASIBAIGĘS GALIOJIMAS","OK")))</x:f>
      </x:c>
    </x:row>
    <x:row r="31">
      <x:c r="A31" s="4"/>
      <x:c r="B31" s="3"/>
      <x:c r="C31" s="3"/>
      <x:c r="D31" s="3"/>
      <x:c r="E31" s="5"/>
      <x:c r="F31" s="3"/>
      <x:c r="G31" s="3"/>
      <x:c r="H31" s="3"/>
      <x:c r="I31" s="8" t="str">
        <x:f>IF($D31="","",IFERROR(INDEX('1 Žaliavų gavimas'!$G$4:$G$206,MATCH($D31,'1 Žaliavų gavimas'!$D$4:$D$206,0)),""))</x:f>
      </x:c>
      <x:c r="J31" s="2" t="str">
        <x:f>IF($D31="","",IF(IFERROR(INDEX('1 Žaliavų gavimas'!$B$4:$B$206,MATCH($D31,'1 Žaliavų gavimas'!$D$4:$D$206,0)),"")&lt;&gt;$C31,"PARTIJA NE TOS ŽALIAVOS",IF(AND($I31&lt;&gt;"",$I31&lt;$A31),"PASIBAIGĘS GALIOJIMAS","OK")))</x:f>
      </x:c>
    </x:row>
    <x:row r="32">
      <x:c r="A32" s="4"/>
      <x:c r="B32" s="3"/>
      <x:c r="C32" s="3"/>
      <x:c r="D32" s="3"/>
      <x:c r="E32" s="5"/>
      <x:c r="F32" s="3"/>
      <x:c r="G32" s="3"/>
      <x:c r="H32" s="3"/>
      <x:c r="I32" s="8" t="str">
        <x:f>IF($D32="","",IFERROR(INDEX('1 Žaliavų gavimas'!$G$4:$G$206,MATCH($D32,'1 Žaliavų gavimas'!$D$4:$D$206,0)),""))</x:f>
      </x:c>
      <x:c r="J32" s="2" t="str">
        <x:f>IF($D32="","",IF(IFERROR(INDEX('1 Žaliavų gavimas'!$B$4:$B$206,MATCH($D32,'1 Žaliavų gavimas'!$D$4:$D$206,0)),"")&lt;&gt;$C32,"PARTIJA NE TOS ŽALIAVOS",IF(AND($I32&lt;&gt;"",$I32&lt;$A32),"PASIBAIGĘS GALIOJIMAS","OK")))</x:f>
      </x:c>
    </x:row>
    <x:row r="33">
      <x:c r="A33" s="4"/>
      <x:c r="B33" s="3"/>
      <x:c r="C33" s="3"/>
      <x:c r="D33" s="3"/>
      <x:c r="E33" s="5"/>
      <x:c r="F33" s="3"/>
      <x:c r="G33" s="3"/>
      <x:c r="H33" s="3"/>
      <x:c r="I33" s="8" t="str">
        <x:f>IF($D33="","",IFERROR(INDEX('1 Žaliavų gavimas'!$G$4:$G$206,MATCH($D33,'1 Žaliavų gavimas'!$D$4:$D$206,0)),""))</x:f>
      </x:c>
      <x:c r="J33" s="2" t="str">
        <x:f>IF($D33="","",IF(IFERROR(INDEX('1 Žaliavų gavimas'!$B$4:$B$206,MATCH($D33,'1 Žaliavų gavimas'!$D$4:$D$206,0)),"")&lt;&gt;$C33,"PARTIJA NE TOS ŽALIAVOS",IF(AND($I33&lt;&gt;"",$I33&lt;$A33),"PASIBAIGĘS GALIOJIMAS","OK")))</x:f>
      </x:c>
    </x:row>
    <x:row r="34">
      <x:c r="A34" s="4"/>
      <x:c r="B34" s="3"/>
      <x:c r="C34" s="3"/>
      <x:c r="D34" s="3"/>
      <x:c r="E34" s="5"/>
      <x:c r="F34" s="3"/>
      <x:c r="G34" s="3"/>
      <x:c r="H34" s="3"/>
      <x:c r="I34" s="8" t="str">
        <x:f>IF($D34="","",IFERROR(INDEX('1 Žaliavų gavimas'!$G$4:$G$206,MATCH($D34,'1 Žaliavų gavimas'!$D$4:$D$206,0)),""))</x:f>
      </x:c>
      <x:c r="J34" s="2" t="str">
        <x:f>IF($D34="","",IF(IFERROR(INDEX('1 Žaliavų gavimas'!$B$4:$B$206,MATCH($D34,'1 Žaliavų gavimas'!$D$4:$D$206,0)),"")&lt;&gt;$C34,"PARTIJA NE TOS ŽALIAVOS",IF(AND($I34&lt;&gt;"",$I34&lt;$A34),"PASIBAIGĘS GALIOJIMAS","OK")))</x:f>
      </x:c>
    </x:row>
    <x:row r="35">
      <x:c r="A35" s="4"/>
      <x:c r="B35" s="3"/>
      <x:c r="C35" s="3"/>
      <x:c r="D35" s="3"/>
      <x:c r="E35" s="5"/>
      <x:c r="F35" s="3"/>
      <x:c r="G35" s="3"/>
      <x:c r="H35" s="3"/>
      <x:c r="I35" s="8" t="str">
        <x:f>IF($D35="","",IFERROR(INDEX('1 Žaliavų gavimas'!$G$4:$G$206,MATCH($D35,'1 Žaliavų gavimas'!$D$4:$D$206,0)),""))</x:f>
      </x:c>
      <x:c r="J35" s="2" t="str">
        <x:f>IF($D35="","",IF(IFERROR(INDEX('1 Žaliavų gavimas'!$B$4:$B$206,MATCH($D35,'1 Žaliavų gavimas'!$D$4:$D$206,0)),"")&lt;&gt;$C35,"PARTIJA NE TOS ŽALIAVOS",IF(AND($I35&lt;&gt;"",$I35&lt;$A35),"PASIBAIGĘS GALIOJIMAS","OK")))</x:f>
      </x:c>
    </x:row>
    <x:row r="36">
      <x:c r="A36" s="4"/>
      <x:c r="B36" s="3"/>
      <x:c r="C36" s="3"/>
      <x:c r="D36" s="3"/>
      <x:c r="E36" s="5"/>
      <x:c r="F36" s="3"/>
      <x:c r="G36" s="3"/>
      <x:c r="H36" s="3"/>
      <x:c r="I36" s="8" t="str">
        <x:f>IF($D36="","",IFERROR(INDEX('1 Žaliavų gavimas'!$G$4:$G$206,MATCH($D36,'1 Žaliavų gavimas'!$D$4:$D$206,0)),""))</x:f>
      </x:c>
      <x:c r="J36" s="2" t="str">
        <x:f>IF($D36="","",IF(IFERROR(INDEX('1 Žaliavų gavimas'!$B$4:$B$206,MATCH($D36,'1 Žaliavų gavimas'!$D$4:$D$206,0)),"")&lt;&gt;$C36,"PARTIJA NE TOS ŽALIAVOS",IF(AND($I36&lt;&gt;"",$I36&lt;$A36),"PASIBAIGĘS GALIOJIMAS","OK")))</x:f>
      </x:c>
    </x:row>
    <x:row r="37">
      <x:c r="A37" s="4"/>
      <x:c r="B37" s="3"/>
      <x:c r="C37" s="3"/>
      <x:c r="D37" s="3"/>
      <x:c r="E37" s="5"/>
      <x:c r="F37" s="3"/>
      <x:c r="G37" s="3"/>
      <x:c r="H37" s="3"/>
      <x:c r="I37" s="8" t="str">
        <x:f>IF($D37="","",IFERROR(INDEX('1 Žaliavų gavimas'!$G$4:$G$206,MATCH($D37,'1 Žaliavų gavimas'!$D$4:$D$206,0)),""))</x:f>
      </x:c>
      <x:c r="J37" s="2" t="str">
        <x:f>IF($D37="","",IF(IFERROR(INDEX('1 Žaliavų gavimas'!$B$4:$B$206,MATCH($D37,'1 Žaliavų gavimas'!$D$4:$D$206,0)),"")&lt;&gt;$C37,"PARTIJA NE TOS ŽALIAVOS",IF(AND($I37&lt;&gt;"",$I37&lt;$A37),"PASIBAIGĘS GALIOJIMAS","OK")))</x:f>
      </x:c>
    </x:row>
    <x:row r="38">
      <x:c r="A38" s="4"/>
      <x:c r="B38" s="3"/>
      <x:c r="C38" s="3"/>
      <x:c r="D38" s="3"/>
      <x:c r="E38" s="5"/>
      <x:c r="F38" s="3"/>
      <x:c r="G38" s="3"/>
      <x:c r="H38" s="3"/>
      <x:c r="I38" s="8" t="str">
        <x:f>IF($D38="","",IFERROR(INDEX('1 Žaliavų gavimas'!$G$4:$G$206,MATCH($D38,'1 Žaliavų gavimas'!$D$4:$D$206,0)),""))</x:f>
      </x:c>
      <x:c r="J38" s="2" t="str">
        <x:f>IF($D38="","",IF(IFERROR(INDEX('1 Žaliavų gavimas'!$B$4:$B$206,MATCH($D38,'1 Žaliavų gavimas'!$D$4:$D$206,0)),"")&lt;&gt;$C38,"PARTIJA NE TOS ŽALIAVOS",IF(AND($I38&lt;&gt;"",$I38&lt;$A38),"PASIBAIGĘS GALIOJIMAS","OK")))</x:f>
      </x:c>
    </x:row>
    <x:row r="39">
      <x:c r="A39" s="4"/>
      <x:c r="B39" s="3"/>
      <x:c r="C39" s="3"/>
      <x:c r="D39" s="3"/>
      <x:c r="E39" s="5"/>
      <x:c r="F39" s="3"/>
      <x:c r="G39" s="3"/>
      <x:c r="H39" s="3"/>
      <x:c r="I39" s="8" t="str">
        <x:f>IF($D39="","",IFERROR(INDEX('1 Žaliavų gavimas'!$G$4:$G$206,MATCH($D39,'1 Žaliavų gavimas'!$D$4:$D$206,0)),""))</x:f>
      </x:c>
      <x:c r="J39" s="2" t="str">
        <x:f>IF($D39="","",IF(IFERROR(INDEX('1 Žaliavų gavimas'!$B$4:$B$206,MATCH($D39,'1 Žaliavų gavimas'!$D$4:$D$206,0)),"")&lt;&gt;$C39,"PARTIJA NE TOS ŽALIAVOS",IF(AND($I39&lt;&gt;"",$I39&lt;$A39),"PASIBAIGĘS GALIOJIMAS","OK")))</x:f>
      </x:c>
    </x:row>
    <x:row r="40">
      <x:c r="A40" s="4"/>
      <x:c r="B40" s="3"/>
      <x:c r="C40" s="3"/>
      <x:c r="D40" s="3"/>
      <x:c r="E40" s="5"/>
      <x:c r="F40" s="3"/>
      <x:c r="G40" s="3"/>
      <x:c r="H40" s="3"/>
      <x:c r="I40" s="8" t="str">
        <x:f>IF($D40="","",IFERROR(INDEX('1 Žaliavų gavimas'!$G$4:$G$206,MATCH($D40,'1 Žaliavų gavimas'!$D$4:$D$206,0)),""))</x:f>
      </x:c>
      <x:c r="J40" s="2" t="str">
        <x:f>IF($D40="","",IF(IFERROR(INDEX('1 Žaliavų gavimas'!$B$4:$B$206,MATCH($D40,'1 Žaliavų gavimas'!$D$4:$D$206,0)),"")&lt;&gt;$C40,"PARTIJA NE TOS ŽALIAVOS",IF(AND($I40&lt;&gt;"",$I40&lt;$A40),"PASIBAIGĘS GALIOJIMAS","OK")))</x:f>
      </x:c>
    </x:row>
    <x:row r="41">
      <x:c r="A41" s="4"/>
      <x:c r="B41" s="3"/>
      <x:c r="C41" s="3"/>
      <x:c r="D41" s="3"/>
      <x:c r="E41" s="5"/>
      <x:c r="F41" s="3"/>
      <x:c r="G41" s="3"/>
      <x:c r="H41" s="3"/>
      <x:c r="I41" s="8" t="str">
        <x:f>IF($D41="","",IFERROR(INDEX('1 Žaliavų gavimas'!$G$4:$G$206,MATCH($D41,'1 Žaliavų gavimas'!$D$4:$D$206,0)),""))</x:f>
      </x:c>
      <x:c r="J41" s="2" t="str">
        <x:f>IF($D41="","",IF(IFERROR(INDEX('1 Žaliavų gavimas'!$B$4:$B$206,MATCH($D41,'1 Žaliavų gavimas'!$D$4:$D$206,0)),"")&lt;&gt;$C41,"PARTIJA NE TOS ŽALIAVOS",IF(AND($I41&lt;&gt;"",$I41&lt;$A41),"PASIBAIGĘS GALIOJIMAS","OK")))</x:f>
      </x:c>
    </x:row>
    <x:row r="42">
      <x:c r="A42" s="4"/>
      <x:c r="B42" s="3"/>
      <x:c r="C42" s="3"/>
      <x:c r="D42" s="3"/>
      <x:c r="E42" s="5"/>
      <x:c r="F42" s="3"/>
      <x:c r="G42" s="3"/>
      <x:c r="H42" s="3"/>
      <x:c r="I42" s="8" t="str">
        <x:f>IF($D42="","",IFERROR(INDEX('1 Žaliavų gavimas'!$G$4:$G$206,MATCH($D42,'1 Žaliavų gavimas'!$D$4:$D$206,0)),""))</x:f>
      </x:c>
      <x:c r="J42" s="2" t="str">
        <x:f>IF($D42="","",IF(IFERROR(INDEX('1 Žaliavų gavimas'!$B$4:$B$206,MATCH($D42,'1 Žaliavų gavimas'!$D$4:$D$206,0)),"")&lt;&gt;$C42,"PARTIJA NE TOS ŽALIAVOS",IF(AND($I42&lt;&gt;"",$I42&lt;$A42),"PASIBAIGĘS GALIOJIMAS","OK")))</x:f>
      </x:c>
    </x:row>
    <x:row r="43">
      <x:c r="A43" s="4"/>
      <x:c r="B43" s="3"/>
      <x:c r="C43" s="3"/>
      <x:c r="D43" s="3"/>
      <x:c r="E43" s="5"/>
      <x:c r="F43" s="3"/>
      <x:c r="G43" s="3"/>
      <x:c r="H43" s="3"/>
      <x:c r="I43" s="8" t="str">
        <x:f>IF($D43="","",IFERROR(INDEX('1 Žaliavų gavimas'!$G$4:$G$206,MATCH($D43,'1 Žaliavų gavimas'!$D$4:$D$206,0)),""))</x:f>
      </x:c>
      <x:c r="J43" s="2" t="str">
        <x:f>IF($D43="","",IF(IFERROR(INDEX('1 Žaliavų gavimas'!$B$4:$B$206,MATCH($D43,'1 Žaliavų gavimas'!$D$4:$D$206,0)),"")&lt;&gt;$C43,"PARTIJA NE TOS ŽALIAVOS",IF(AND($I43&lt;&gt;"",$I43&lt;$A43),"PASIBAIGĘS GALIOJIMAS","OK")))</x:f>
      </x:c>
    </x:row>
    <x:row r="44">
      <x:c r="A44" s="4"/>
      <x:c r="B44" s="3"/>
      <x:c r="C44" s="3"/>
      <x:c r="D44" s="3"/>
      <x:c r="E44" s="5"/>
      <x:c r="F44" s="3"/>
      <x:c r="G44" s="3"/>
      <x:c r="H44" s="3"/>
      <x:c r="I44" s="8" t="str">
        <x:f>IF($D44="","",IFERROR(INDEX('1 Žaliavų gavimas'!$G$4:$G$206,MATCH($D44,'1 Žaliavų gavimas'!$D$4:$D$206,0)),""))</x:f>
      </x:c>
      <x:c r="J44" s="2" t="str">
        <x:f>IF($D44="","",IF(IFERROR(INDEX('1 Žaliavų gavimas'!$B$4:$B$206,MATCH($D44,'1 Žaliavų gavimas'!$D$4:$D$206,0)),"")&lt;&gt;$C44,"PARTIJA NE TOS ŽALIAVOS",IF(AND($I44&lt;&gt;"",$I44&lt;$A44),"PASIBAIGĘS GALIOJIMAS","OK")))</x:f>
      </x:c>
    </x:row>
    <x:row r="45">
      <x:c r="A45" s="4"/>
      <x:c r="B45" s="3"/>
      <x:c r="C45" s="3"/>
      <x:c r="D45" s="3"/>
      <x:c r="E45" s="5"/>
      <x:c r="F45" s="3"/>
      <x:c r="G45" s="3"/>
      <x:c r="H45" s="3"/>
      <x:c r="I45" s="8" t="str">
        <x:f>IF($D45="","",IFERROR(INDEX('1 Žaliavų gavimas'!$G$4:$G$206,MATCH($D45,'1 Žaliavų gavimas'!$D$4:$D$206,0)),""))</x:f>
      </x:c>
      <x:c r="J45" s="2" t="str">
        <x:f>IF($D45="","",IF(IFERROR(INDEX('1 Žaliavų gavimas'!$B$4:$B$206,MATCH($D45,'1 Žaliavų gavimas'!$D$4:$D$206,0)),"")&lt;&gt;$C45,"PARTIJA NE TOS ŽALIAVOS",IF(AND($I45&lt;&gt;"",$I45&lt;$A45),"PASIBAIGĘS GALIOJIMAS","OK")))</x:f>
      </x:c>
    </x:row>
    <x:row r="46">
      <x:c r="A46" s="4"/>
      <x:c r="B46" s="3"/>
      <x:c r="C46" s="3"/>
      <x:c r="D46" s="3"/>
      <x:c r="E46" s="5"/>
      <x:c r="F46" s="3"/>
      <x:c r="G46" s="3"/>
      <x:c r="H46" s="3"/>
      <x:c r="I46" s="8" t="str">
        <x:f>IF($D46="","",IFERROR(INDEX('1 Žaliavų gavimas'!$G$4:$G$206,MATCH($D46,'1 Žaliavų gavimas'!$D$4:$D$206,0)),""))</x:f>
      </x:c>
      <x:c r="J46" s="2" t="str">
        <x:f>IF($D46="","",IF(IFERROR(INDEX('1 Žaliavų gavimas'!$B$4:$B$206,MATCH($D46,'1 Žaliavų gavimas'!$D$4:$D$206,0)),"")&lt;&gt;$C46,"PARTIJA NE TOS ŽALIAVOS",IF(AND($I46&lt;&gt;"",$I46&lt;$A46),"PASIBAIGĘS GALIOJIMAS","OK")))</x:f>
      </x:c>
    </x:row>
    <x:row r="47">
      <x:c r="A47" s="4"/>
      <x:c r="B47" s="3"/>
      <x:c r="C47" s="3"/>
      <x:c r="D47" s="3"/>
      <x:c r="E47" s="5"/>
      <x:c r="F47" s="3"/>
      <x:c r="G47" s="3"/>
      <x:c r="H47" s="3"/>
      <x:c r="I47" s="8" t="str">
        <x:f>IF($D47="","",IFERROR(INDEX('1 Žaliavų gavimas'!$G$4:$G$206,MATCH($D47,'1 Žaliavų gavimas'!$D$4:$D$206,0)),""))</x:f>
      </x:c>
      <x:c r="J47" s="2" t="str">
        <x:f>IF($D47="","",IF(IFERROR(INDEX('1 Žaliavų gavimas'!$B$4:$B$206,MATCH($D47,'1 Žaliavų gavimas'!$D$4:$D$206,0)),"")&lt;&gt;$C47,"PARTIJA NE TOS ŽALIAVOS",IF(AND($I47&lt;&gt;"",$I47&lt;$A47),"PASIBAIGĘS GALIOJIMAS","OK")))</x:f>
      </x:c>
    </x:row>
    <x:row r="48">
      <x:c r="A48" s="4"/>
      <x:c r="B48" s="3"/>
      <x:c r="C48" s="3"/>
      <x:c r="D48" s="3"/>
      <x:c r="E48" s="5"/>
      <x:c r="F48" s="3"/>
      <x:c r="G48" s="3"/>
      <x:c r="H48" s="3"/>
      <x:c r="I48" s="8" t="str">
        <x:f>IF($D48="","",IFERROR(INDEX('1 Žaliavų gavimas'!$G$4:$G$206,MATCH($D48,'1 Žaliavų gavimas'!$D$4:$D$206,0)),""))</x:f>
      </x:c>
      <x:c r="J48" s="2" t="str">
        <x:f>IF($D48="","",IF(IFERROR(INDEX('1 Žaliavų gavimas'!$B$4:$B$206,MATCH($D48,'1 Žaliavų gavimas'!$D$4:$D$206,0)),"")&lt;&gt;$C48,"PARTIJA NE TOS ŽALIAVOS",IF(AND($I48&lt;&gt;"",$I48&lt;$A48),"PASIBAIGĘS GALIOJIMAS","OK")))</x:f>
      </x:c>
    </x:row>
    <x:row r="49">
      <x:c r="A49" s="4"/>
      <x:c r="B49" s="3"/>
      <x:c r="C49" s="3"/>
      <x:c r="D49" s="3"/>
      <x:c r="E49" s="5"/>
      <x:c r="F49" s="3"/>
      <x:c r="G49" s="3"/>
      <x:c r="H49" s="3"/>
      <x:c r="I49" s="8" t="str">
        <x:f>IF($D49="","",IFERROR(INDEX('1 Žaliavų gavimas'!$G$4:$G$206,MATCH($D49,'1 Žaliavų gavimas'!$D$4:$D$206,0)),""))</x:f>
      </x:c>
      <x:c r="J49" s="2" t="str">
        <x:f>IF($D49="","",IF(IFERROR(INDEX('1 Žaliavų gavimas'!$B$4:$B$206,MATCH($D49,'1 Žaliavų gavimas'!$D$4:$D$206,0)),"")&lt;&gt;$C49,"PARTIJA NE TOS ŽALIAVOS",IF(AND($I49&lt;&gt;"",$I49&lt;$A49),"PASIBAIGĘS GALIOJIMAS","OK")))</x:f>
      </x:c>
    </x:row>
    <x:row r="50">
      <x:c r="A50" s="4"/>
      <x:c r="B50" s="3"/>
      <x:c r="C50" s="3"/>
      <x:c r="D50" s="3"/>
      <x:c r="E50" s="5"/>
      <x:c r="F50" s="3"/>
      <x:c r="G50" s="3"/>
      <x:c r="H50" s="3"/>
      <x:c r="I50" s="8" t="str">
        <x:f>IF($D50="","",IFERROR(INDEX('1 Žaliavų gavimas'!$G$4:$G$206,MATCH($D50,'1 Žaliavų gavimas'!$D$4:$D$206,0)),""))</x:f>
      </x:c>
      <x:c r="J50" s="2" t="str">
        <x:f>IF($D50="","",IF(IFERROR(INDEX('1 Žaliavų gavimas'!$B$4:$B$206,MATCH($D50,'1 Žaliavų gavimas'!$D$4:$D$206,0)),"")&lt;&gt;$C50,"PARTIJA NE TOS ŽALIAVOS",IF(AND($I50&lt;&gt;"",$I50&lt;$A50),"PASIBAIGĘS GALIOJIMAS","OK")))</x:f>
      </x:c>
    </x:row>
    <x:row r="51">
      <x:c r="A51" s="4"/>
      <x:c r="B51" s="3"/>
      <x:c r="C51" s="3"/>
      <x:c r="D51" s="3"/>
      <x:c r="E51" s="5"/>
      <x:c r="F51" s="3"/>
      <x:c r="G51" s="3"/>
      <x:c r="H51" s="3"/>
      <x:c r="I51" s="8" t="str">
        <x:f>IF($D51="","",IFERROR(INDEX('1 Žaliavų gavimas'!$G$4:$G$206,MATCH($D51,'1 Žaliavų gavimas'!$D$4:$D$206,0)),""))</x:f>
      </x:c>
      <x:c r="J51" s="2" t="str">
        <x:f>IF($D51="","",IF(IFERROR(INDEX('1 Žaliavų gavimas'!$B$4:$B$206,MATCH($D51,'1 Žaliavų gavimas'!$D$4:$D$206,0)),"")&lt;&gt;$C51,"PARTIJA NE TOS ŽALIAVOS",IF(AND($I51&lt;&gt;"",$I51&lt;$A51),"PASIBAIGĘS GALIOJIMAS","OK")))</x:f>
      </x:c>
    </x:row>
    <x:row r="52">
      <x:c r="A52" s="4"/>
      <x:c r="B52" s="3"/>
      <x:c r="C52" s="3"/>
      <x:c r="D52" s="3"/>
      <x:c r="E52" s="5"/>
      <x:c r="F52" s="3"/>
      <x:c r="G52" s="3"/>
      <x:c r="H52" s="3"/>
      <x:c r="I52" s="8" t="str">
        <x:f>IF($D52="","",IFERROR(INDEX('1 Žaliavų gavimas'!$G$4:$G$206,MATCH($D52,'1 Žaliavų gavimas'!$D$4:$D$206,0)),""))</x:f>
      </x:c>
      <x:c r="J52" s="2" t="str">
        <x:f>IF($D52="","",IF(IFERROR(INDEX('1 Žaliavų gavimas'!$B$4:$B$206,MATCH($D52,'1 Žaliavų gavimas'!$D$4:$D$206,0)),"")&lt;&gt;$C52,"PARTIJA NE TOS ŽALIAVOS",IF(AND($I52&lt;&gt;"",$I52&lt;$A52),"PASIBAIGĘS GALIOJIMAS","OK")))</x:f>
      </x:c>
    </x:row>
    <x:row r="53">
      <x:c r="A53" s="4"/>
      <x:c r="B53" s="3"/>
      <x:c r="C53" s="3"/>
      <x:c r="D53" s="3"/>
      <x:c r="E53" s="5"/>
      <x:c r="F53" s="3"/>
      <x:c r="G53" s="3"/>
      <x:c r="H53" s="3"/>
      <x:c r="I53" s="8" t="str">
        <x:f>IF($D53="","",IFERROR(INDEX('1 Žaliavų gavimas'!$G$4:$G$206,MATCH($D53,'1 Žaliavų gavimas'!$D$4:$D$206,0)),""))</x:f>
      </x:c>
      <x:c r="J53" s="2" t="str">
        <x:f>IF($D53="","",IF(IFERROR(INDEX('1 Žaliavų gavimas'!$B$4:$B$206,MATCH($D53,'1 Žaliavų gavimas'!$D$4:$D$206,0)),"")&lt;&gt;$C53,"PARTIJA NE TOS ŽALIAVOS",IF(AND($I53&lt;&gt;"",$I53&lt;$A53),"PASIBAIGĘS GALIOJIMAS","OK")))</x:f>
      </x:c>
    </x:row>
    <x:row r="54">
      <x:c r="A54" s="4"/>
      <x:c r="B54" s="3"/>
      <x:c r="C54" s="3"/>
      <x:c r="D54" s="3"/>
      <x:c r="E54" s="5"/>
      <x:c r="F54" s="3"/>
      <x:c r="G54" s="3"/>
      <x:c r="H54" s="3"/>
      <x:c r="I54" s="8" t="str">
        <x:f>IF($D54="","",IFERROR(INDEX('1 Žaliavų gavimas'!$G$4:$G$206,MATCH($D54,'1 Žaliavų gavimas'!$D$4:$D$206,0)),""))</x:f>
      </x:c>
      <x:c r="J54" s="2" t="str">
        <x:f>IF($D54="","",IF(IFERROR(INDEX('1 Žaliavų gavimas'!$B$4:$B$206,MATCH($D54,'1 Žaliavų gavimas'!$D$4:$D$206,0)),"")&lt;&gt;$C54,"PARTIJA NE TOS ŽALIAVOS",IF(AND($I54&lt;&gt;"",$I54&lt;$A54),"PASIBAIGĘS GALIOJIMAS","OK")))</x:f>
      </x:c>
    </x:row>
    <x:row r="55">
      <x:c r="A55" s="4"/>
      <x:c r="B55" s="3"/>
      <x:c r="C55" s="3"/>
      <x:c r="D55" s="3"/>
      <x:c r="E55" s="5"/>
      <x:c r="F55" s="3"/>
      <x:c r="G55" s="3"/>
      <x:c r="H55" s="3"/>
      <x:c r="I55" s="8" t="str">
        <x:f>IF($D55="","",IFERROR(INDEX('1 Žaliavų gavimas'!$G$4:$G$206,MATCH($D55,'1 Žaliavų gavimas'!$D$4:$D$206,0)),""))</x:f>
      </x:c>
      <x:c r="J55" s="2" t="str">
        <x:f>IF($D55="","",IF(IFERROR(INDEX('1 Žaliavų gavimas'!$B$4:$B$206,MATCH($D55,'1 Žaliavų gavimas'!$D$4:$D$206,0)),"")&lt;&gt;$C55,"PARTIJA NE TOS ŽALIAVOS",IF(AND($I55&lt;&gt;"",$I55&lt;$A55),"PASIBAIGĘS GALIOJIMAS","OK")))</x:f>
      </x:c>
    </x:row>
    <x:row r="56">
      <x:c r="A56" s="4"/>
      <x:c r="B56" s="3"/>
      <x:c r="C56" s="3"/>
      <x:c r="D56" s="3"/>
      <x:c r="E56" s="5"/>
      <x:c r="F56" s="3"/>
      <x:c r="G56" s="3"/>
      <x:c r="H56" s="3"/>
      <x:c r="I56" s="8" t="str">
        <x:f>IF($D56="","",IFERROR(INDEX('1 Žaliavų gavimas'!$G$4:$G$206,MATCH($D56,'1 Žaliavų gavimas'!$D$4:$D$206,0)),""))</x:f>
      </x:c>
      <x:c r="J56" s="2" t="str">
        <x:f>IF($D56="","",IF(IFERROR(INDEX('1 Žaliavų gavimas'!$B$4:$B$206,MATCH($D56,'1 Žaliavų gavimas'!$D$4:$D$206,0)),"")&lt;&gt;$C56,"PARTIJA NE TOS ŽALIAVOS",IF(AND($I56&lt;&gt;"",$I56&lt;$A56),"PASIBAIGĘS GALIOJIMAS","OK")))</x:f>
      </x:c>
    </x:row>
    <x:row r="57">
      <x:c r="A57" s="4"/>
      <x:c r="B57" s="3"/>
      <x:c r="C57" s="3"/>
      <x:c r="D57" s="3"/>
      <x:c r="E57" s="5"/>
      <x:c r="F57" s="3"/>
      <x:c r="G57" s="3"/>
      <x:c r="H57" s="3"/>
      <x:c r="I57" s="8" t="str">
        <x:f>IF($D57="","",IFERROR(INDEX('1 Žaliavų gavimas'!$G$4:$G$206,MATCH($D57,'1 Žaliavų gavimas'!$D$4:$D$206,0)),""))</x:f>
      </x:c>
      <x:c r="J57" s="2" t="str">
        <x:f>IF($D57="","",IF(IFERROR(INDEX('1 Žaliavų gavimas'!$B$4:$B$206,MATCH($D57,'1 Žaliavų gavimas'!$D$4:$D$206,0)),"")&lt;&gt;$C57,"PARTIJA NE TOS ŽALIAVOS",IF(AND($I57&lt;&gt;"",$I57&lt;$A57),"PASIBAIGĘS GALIOJIMAS","OK")))</x:f>
      </x:c>
    </x:row>
    <x:row r="58">
      <x:c r="A58" s="4"/>
      <x:c r="B58" s="3"/>
      <x:c r="C58" s="3"/>
      <x:c r="D58" s="3"/>
      <x:c r="E58" s="5"/>
      <x:c r="F58" s="3"/>
      <x:c r="G58" s="3"/>
      <x:c r="H58" s="3"/>
      <x:c r="I58" s="8" t="str">
        <x:f>IF($D58="","",IFERROR(INDEX('1 Žaliavų gavimas'!$G$4:$G$206,MATCH($D58,'1 Žaliavų gavimas'!$D$4:$D$206,0)),""))</x:f>
      </x:c>
      <x:c r="J58" s="2" t="str">
        <x:f>IF($D58="","",IF(IFERROR(INDEX('1 Žaliavų gavimas'!$B$4:$B$206,MATCH($D58,'1 Žaliavų gavimas'!$D$4:$D$206,0)),"")&lt;&gt;$C58,"PARTIJA NE TOS ŽALIAVOS",IF(AND($I58&lt;&gt;"",$I58&lt;$A58),"PASIBAIGĘS GALIOJIMAS","OK")))</x:f>
      </x:c>
    </x:row>
    <x:row r="59">
      <x:c r="A59" s="4"/>
      <x:c r="B59" s="3"/>
      <x:c r="C59" s="3"/>
      <x:c r="D59" s="3"/>
      <x:c r="E59" s="5"/>
      <x:c r="F59" s="3"/>
      <x:c r="G59" s="3"/>
      <x:c r="H59" s="3"/>
      <x:c r="I59" s="8" t="str">
        <x:f>IF($D59="","",IFERROR(INDEX('1 Žaliavų gavimas'!$G$4:$G$206,MATCH($D59,'1 Žaliavų gavimas'!$D$4:$D$206,0)),""))</x:f>
      </x:c>
      <x:c r="J59" s="2" t="str">
        <x:f>IF($D59="","",IF(IFERROR(INDEX('1 Žaliavų gavimas'!$B$4:$B$206,MATCH($D59,'1 Žaliavų gavimas'!$D$4:$D$206,0)),"")&lt;&gt;$C59,"PARTIJA NE TOS ŽALIAVOS",IF(AND($I59&lt;&gt;"",$I59&lt;$A59),"PASIBAIGĘS GALIOJIMAS","OK")))</x:f>
      </x:c>
    </x:row>
    <x:row r="60">
      <x:c r="A60" s="4"/>
      <x:c r="B60" s="3"/>
      <x:c r="C60" s="3"/>
      <x:c r="D60" s="3"/>
      <x:c r="E60" s="5"/>
      <x:c r="F60" s="3"/>
      <x:c r="G60" s="3"/>
      <x:c r="H60" s="3"/>
      <x:c r="I60" s="8" t="str">
        <x:f>IF($D60="","",IFERROR(INDEX('1 Žaliavų gavimas'!$G$4:$G$206,MATCH($D60,'1 Žaliavų gavimas'!$D$4:$D$206,0)),""))</x:f>
      </x:c>
      <x:c r="J60" s="2" t="str">
        <x:f>IF($D60="","",IF(IFERROR(INDEX('1 Žaliavų gavimas'!$B$4:$B$206,MATCH($D60,'1 Žaliavų gavimas'!$D$4:$D$206,0)),"")&lt;&gt;$C60,"PARTIJA NE TOS ŽALIAVOS",IF(AND($I60&lt;&gt;"",$I60&lt;$A60),"PASIBAIGĘS GALIOJIMAS","OK")))</x:f>
      </x:c>
    </x:row>
    <x:row r="61">
      <x:c r="A61" s="4"/>
      <x:c r="B61" s="3"/>
      <x:c r="C61" s="3"/>
      <x:c r="D61" s="3"/>
      <x:c r="E61" s="5"/>
      <x:c r="F61" s="3"/>
      <x:c r="G61" s="3"/>
      <x:c r="H61" s="3"/>
      <x:c r="I61" s="8" t="str">
        <x:f>IF($D61="","",IFERROR(INDEX('1 Žaliavų gavimas'!$G$4:$G$206,MATCH($D61,'1 Žaliavų gavimas'!$D$4:$D$206,0)),""))</x:f>
      </x:c>
      <x:c r="J61" s="2" t="str">
        <x:f>IF($D61="","",IF(IFERROR(INDEX('1 Žaliavų gavimas'!$B$4:$B$206,MATCH($D61,'1 Žaliavų gavimas'!$D$4:$D$206,0)),"")&lt;&gt;$C61,"PARTIJA NE TOS ŽALIAVOS",IF(AND($I61&lt;&gt;"",$I61&lt;$A61),"PASIBAIGĘS GALIOJIMAS","OK")))</x:f>
      </x:c>
    </x:row>
    <x:row r="62">
      <x:c r="A62" s="4"/>
      <x:c r="B62" s="3"/>
      <x:c r="C62" s="3"/>
      <x:c r="D62" s="3"/>
      <x:c r="E62" s="5"/>
      <x:c r="F62" s="3"/>
      <x:c r="G62" s="3"/>
      <x:c r="H62" s="3"/>
      <x:c r="I62" s="8" t="str">
        <x:f>IF($D62="","",IFERROR(INDEX('1 Žaliavų gavimas'!$G$4:$G$206,MATCH($D62,'1 Žaliavų gavimas'!$D$4:$D$206,0)),""))</x:f>
      </x:c>
      <x:c r="J62" s="2" t="str">
        <x:f>IF($D62="","",IF(IFERROR(INDEX('1 Žaliavų gavimas'!$B$4:$B$206,MATCH($D62,'1 Žaliavų gavimas'!$D$4:$D$206,0)),"")&lt;&gt;$C62,"PARTIJA NE TOS ŽALIAVOS",IF(AND($I62&lt;&gt;"",$I62&lt;$A62),"PASIBAIGĘS GALIOJIMAS","OK")))</x:f>
      </x:c>
    </x:row>
    <x:row r="63">
      <x:c r="A63" s="4"/>
      <x:c r="B63" s="3"/>
      <x:c r="C63" s="3"/>
      <x:c r="D63" s="3"/>
      <x:c r="E63" s="5"/>
      <x:c r="F63" s="3"/>
      <x:c r="G63" s="3"/>
      <x:c r="H63" s="3"/>
      <x:c r="I63" s="8" t="str">
        <x:f>IF($D63="","",IFERROR(INDEX('1 Žaliavų gavimas'!$G$4:$G$206,MATCH($D63,'1 Žaliavų gavimas'!$D$4:$D$206,0)),""))</x:f>
      </x:c>
      <x:c r="J63" s="2" t="str">
        <x:f>IF($D63="","",IF(IFERROR(INDEX('1 Žaliavų gavimas'!$B$4:$B$206,MATCH($D63,'1 Žaliavų gavimas'!$D$4:$D$206,0)),"")&lt;&gt;$C63,"PARTIJA NE TOS ŽALIAVOS",IF(AND($I63&lt;&gt;"",$I63&lt;$A63),"PASIBAIGĘS GALIOJIMAS","OK")))</x:f>
      </x:c>
    </x:row>
    <x:row r="64">
      <x:c r="A64" s="4"/>
      <x:c r="B64" s="3"/>
      <x:c r="C64" s="3"/>
      <x:c r="D64" s="3"/>
      <x:c r="E64" s="5"/>
      <x:c r="F64" s="3"/>
      <x:c r="G64" s="3"/>
      <x:c r="H64" s="3"/>
      <x:c r="I64" s="8" t="str">
        <x:f>IF($D64="","",IFERROR(INDEX('1 Žaliavų gavimas'!$G$4:$G$206,MATCH($D64,'1 Žaliavų gavimas'!$D$4:$D$206,0)),""))</x:f>
      </x:c>
      <x:c r="J64" s="2" t="str">
        <x:f>IF($D64="","",IF(IFERROR(INDEX('1 Žaliavų gavimas'!$B$4:$B$206,MATCH($D64,'1 Žaliavų gavimas'!$D$4:$D$206,0)),"")&lt;&gt;$C64,"PARTIJA NE TOS ŽALIAVOS",IF(AND($I64&lt;&gt;"",$I64&lt;$A64),"PASIBAIGĘS GALIOJIMAS","OK")))</x:f>
      </x:c>
    </x:row>
    <x:row r="65">
      <x:c r="A65" s="4"/>
      <x:c r="B65" s="3"/>
      <x:c r="C65" s="3"/>
      <x:c r="D65" s="3"/>
      <x:c r="E65" s="5"/>
      <x:c r="F65" s="3"/>
      <x:c r="G65" s="3"/>
      <x:c r="H65" s="3"/>
      <x:c r="I65" s="8" t="str">
        <x:f>IF($D65="","",IFERROR(INDEX('1 Žaliavų gavimas'!$G$4:$G$206,MATCH($D65,'1 Žaliavų gavimas'!$D$4:$D$206,0)),""))</x:f>
      </x:c>
      <x:c r="J65" s="2" t="str">
        <x:f>IF($D65="","",IF(IFERROR(INDEX('1 Žaliavų gavimas'!$B$4:$B$206,MATCH($D65,'1 Žaliavų gavimas'!$D$4:$D$206,0)),"")&lt;&gt;$C65,"PARTIJA NE TOS ŽALIAVOS",IF(AND($I65&lt;&gt;"",$I65&lt;$A65),"PASIBAIGĘS GALIOJIMAS","OK")))</x:f>
      </x:c>
    </x:row>
    <x:row r="66">
      <x:c r="A66" s="4"/>
      <x:c r="B66" s="3"/>
      <x:c r="C66" s="3"/>
      <x:c r="D66" s="3"/>
      <x:c r="E66" s="5"/>
      <x:c r="F66" s="3"/>
      <x:c r="G66" s="3"/>
      <x:c r="H66" s="3"/>
      <x:c r="I66" s="8" t="str">
        <x:f>IF($D66="","",IFERROR(INDEX('1 Žaliavų gavimas'!$G$4:$G$206,MATCH($D66,'1 Žaliavų gavimas'!$D$4:$D$206,0)),""))</x:f>
      </x:c>
      <x:c r="J66" s="2" t="str">
        <x:f>IF($D66="","",IF(IFERROR(INDEX('1 Žaliavų gavimas'!$B$4:$B$206,MATCH($D66,'1 Žaliavų gavimas'!$D$4:$D$206,0)),"")&lt;&gt;$C66,"PARTIJA NE TOS ŽALIAVOS",IF(AND($I66&lt;&gt;"",$I66&lt;$A66),"PASIBAIGĘS GALIOJIMAS","OK")))</x:f>
      </x:c>
    </x:row>
    <x:row r="67">
      <x:c r="A67" s="4"/>
      <x:c r="B67" s="3"/>
      <x:c r="C67" s="3"/>
      <x:c r="D67" s="3"/>
      <x:c r="E67" s="5"/>
      <x:c r="F67" s="3"/>
      <x:c r="G67" s="3"/>
      <x:c r="H67" s="3"/>
      <x:c r="I67" s="8" t="str">
        <x:f>IF($D67="","",IFERROR(INDEX('1 Žaliavų gavimas'!$G$4:$G$206,MATCH($D67,'1 Žaliavų gavimas'!$D$4:$D$206,0)),""))</x:f>
      </x:c>
      <x:c r="J67" s="2" t="str">
        <x:f>IF($D67="","",IF(IFERROR(INDEX('1 Žaliavų gavimas'!$B$4:$B$206,MATCH($D67,'1 Žaliavų gavimas'!$D$4:$D$206,0)),"")&lt;&gt;$C67,"PARTIJA NE TOS ŽALIAVOS",IF(AND($I67&lt;&gt;"",$I67&lt;$A67),"PASIBAIGĘS GALIOJIMAS","OK")))</x:f>
      </x:c>
    </x:row>
    <x:row r="68">
      <x:c r="A68" s="4"/>
      <x:c r="B68" s="3"/>
      <x:c r="C68" s="3"/>
      <x:c r="D68" s="3"/>
      <x:c r="E68" s="5"/>
      <x:c r="F68" s="3"/>
      <x:c r="G68" s="3"/>
      <x:c r="H68" s="3"/>
      <x:c r="I68" s="8" t="str">
        <x:f>IF($D68="","",IFERROR(INDEX('1 Žaliavų gavimas'!$G$4:$G$206,MATCH($D68,'1 Žaliavų gavimas'!$D$4:$D$206,0)),""))</x:f>
      </x:c>
      <x:c r="J68" s="2" t="str">
        <x:f>IF($D68="","",IF(IFERROR(INDEX('1 Žaliavų gavimas'!$B$4:$B$206,MATCH($D68,'1 Žaliavų gavimas'!$D$4:$D$206,0)),"")&lt;&gt;$C68,"PARTIJA NE TOS ŽALIAVOS",IF(AND($I68&lt;&gt;"",$I68&lt;$A68),"PASIBAIGĘS GALIOJIMAS","OK")))</x:f>
      </x:c>
    </x:row>
    <x:row r="69">
      <x:c r="A69" s="4"/>
      <x:c r="B69" s="3"/>
      <x:c r="C69" s="3"/>
      <x:c r="D69" s="3"/>
      <x:c r="E69" s="5"/>
      <x:c r="F69" s="3"/>
      <x:c r="G69" s="3"/>
      <x:c r="H69" s="3"/>
      <x:c r="I69" s="8" t="str">
        <x:f>IF($D69="","",IFERROR(INDEX('1 Žaliavų gavimas'!$G$4:$G$206,MATCH($D69,'1 Žaliavų gavimas'!$D$4:$D$206,0)),""))</x:f>
      </x:c>
      <x:c r="J69" s="2" t="str">
        <x:f>IF($D69="","",IF(IFERROR(INDEX('1 Žaliavų gavimas'!$B$4:$B$206,MATCH($D69,'1 Žaliavų gavimas'!$D$4:$D$206,0)),"")&lt;&gt;$C69,"PARTIJA NE TOS ŽALIAVOS",IF(AND($I69&lt;&gt;"",$I69&lt;$A69),"PASIBAIGĘS GALIOJIMAS","OK")))</x:f>
      </x:c>
    </x:row>
    <x:row r="70">
      <x:c r="A70" s="4"/>
      <x:c r="B70" s="3"/>
      <x:c r="C70" s="3"/>
      <x:c r="D70" s="3"/>
      <x:c r="E70" s="5"/>
      <x:c r="F70" s="3"/>
      <x:c r="G70" s="3"/>
      <x:c r="H70" s="3"/>
      <x:c r="I70" s="8" t="str">
        <x:f>IF($D70="","",IFERROR(INDEX('1 Žaliavų gavimas'!$G$4:$G$206,MATCH($D70,'1 Žaliavų gavimas'!$D$4:$D$206,0)),""))</x:f>
      </x:c>
      <x:c r="J70" s="2" t="str">
        <x:f>IF($D70="","",IF(IFERROR(INDEX('1 Žaliavų gavimas'!$B$4:$B$206,MATCH($D70,'1 Žaliavų gavimas'!$D$4:$D$206,0)),"")&lt;&gt;$C70,"PARTIJA NE TOS ŽALIAVOS",IF(AND($I70&lt;&gt;"",$I70&lt;$A70),"PASIBAIGĘS GALIOJIMAS","OK")))</x:f>
      </x:c>
    </x:row>
    <x:row r="71">
      <x:c r="A71" s="4"/>
      <x:c r="B71" s="3"/>
      <x:c r="C71" s="3"/>
      <x:c r="D71" s="3"/>
      <x:c r="E71" s="5"/>
      <x:c r="F71" s="3"/>
      <x:c r="G71" s="3"/>
      <x:c r="H71" s="3"/>
      <x:c r="I71" s="8" t="str">
        <x:f>IF($D71="","",IFERROR(INDEX('1 Žaliavų gavimas'!$G$4:$G$206,MATCH($D71,'1 Žaliavų gavimas'!$D$4:$D$206,0)),""))</x:f>
      </x:c>
      <x:c r="J71" s="2" t="str">
        <x:f>IF($D71="","",IF(IFERROR(INDEX('1 Žaliavų gavimas'!$B$4:$B$206,MATCH($D71,'1 Žaliavų gavimas'!$D$4:$D$206,0)),"")&lt;&gt;$C71,"PARTIJA NE TOS ŽALIAVOS",IF(AND($I71&lt;&gt;"",$I71&lt;$A71),"PASIBAIGĘS GALIOJIMAS","OK")))</x:f>
      </x:c>
    </x:row>
    <x:row r="72">
      <x:c r="A72" s="4"/>
      <x:c r="B72" s="3"/>
      <x:c r="C72" s="3"/>
      <x:c r="D72" s="3"/>
      <x:c r="E72" s="5"/>
      <x:c r="F72" s="3"/>
      <x:c r="G72" s="3"/>
      <x:c r="H72" s="3"/>
      <x:c r="I72" s="8" t="str">
        <x:f>IF($D72="","",IFERROR(INDEX('1 Žaliavų gavimas'!$G$4:$G$206,MATCH($D72,'1 Žaliavų gavimas'!$D$4:$D$206,0)),""))</x:f>
      </x:c>
      <x:c r="J72" s="2" t="str">
        <x:f>IF($D72="","",IF(IFERROR(INDEX('1 Žaliavų gavimas'!$B$4:$B$206,MATCH($D72,'1 Žaliavų gavimas'!$D$4:$D$206,0)),"")&lt;&gt;$C72,"PARTIJA NE TOS ŽALIAVOS",IF(AND($I72&lt;&gt;"",$I72&lt;$A72),"PASIBAIGĘS GALIOJIMAS","OK")))</x:f>
      </x:c>
    </x:row>
    <x:row r="73">
      <x:c r="A73" s="4"/>
      <x:c r="B73" s="3"/>
      <x:c r="C73" s="3"/>
      <x:c r="D73" s="3"/>
      <x:c r="E73" s="5"/>
      <x:c r="F73" s="3"/>
      <x:c r="G73" s="3"/>
      <x:c r="H73" s="3"/>
      <x:c r="I73" s="8" t="str">
        <x:f>IF($D73="","",IFERROR(INDEX('1 Žaliavų gavimas'!$G$4:$G$206,MATCH($D73,'1 Žaliavų gavimas'!$D$4:$D$206,0)),""))</x:f>
      </x:c>
      <x:c r="J73" s="2" t="str">
        <x:f>IF($D73="","",IF(IFERROR(INDEX('1 Žaliavų gavimas'!$B$4:$B$206,MATCH($D73,'1 Žaliavų gavimas'!$D$4:$D$206,0)),"")&lt;&gt;$C73,"PARTIJA NE TOS ŽALIAVOS",IF(AND($I73&lt;&gt;"",$I73&lt;$A73),"PASIBAIGĘS GALIOJIMAS","OK")))</x:f>
      </x:c>
    </x:row>
    <x:row r="74">
      <x:c r="A74" s="4"/>
      <x:c r="B74" s="3"/>
      <x:c r="C74" s="3"/>
      <x:c r="D74" s="3"/>
      <x:c r="E74" s="5"/>
      <x:c r="F74" s="3"/>
      <x:c r="G74" s="3"/>
      <x:c r="H74" s="3"/>
      <x:c r="I74" s="8" t="str">
        <x:f>IF($D74="","",IFERROR(INDEX('1 Žaliavų gavimas'!$G$4:$G$206,MATCH($D74,'1 Žaliavų gavimas'!$D$4:$D$206,0)),""))</x:f>
      </x:c>
      <x:c r="J74" s="2" t="str">
        <x:f>IF($D74="","",IF(IFERROR(INDEX('1 Žaliavų gavimas'!$B$4:$B$206,MATCH($D74,'1 Žaliavų gavimas'!$D$4:$D$206,0)),"")&lt;&gt;$C74,"PARTIJA NE TOS ŽALIAVOS",IF(AND($I74&lt;&gt;"",$I74&lt;$A74),"PASIBAIGĘS GALIOJIMAS","OK")))</x:f>
      </x:c>
    </x:row>
    <x:row r="75">
      <x:c r="A75" s="4"/>
      <x:c r="B75" s="3"/>
      <x:c r="C75" s="3"/>
      <x:c r="D75" s="3"/>
      <x:c r="E75" s="5"/>
      <x:c r="F75" s="3"/>
      <x:c r="G75" s="3"/>
      <x:c r="H75" s="3"/>
      <x:c r="I75" s="8" t="str">
        <x:f>IF($D75="","",IFERROR(INDEX('1 Žaliavų gavimas'!$G$4:$G$206,MATCH($D75,'1 Žaliavų gavimas'!$D$4:$D$206,0)),""))</x:f>
      </x:c>
      <x:c r="J75" s="2" t="str">
        <x:f>IF($D75="","",IF(IFERROR(INDEX('1 Žaliavų gavimas'!$B$4:$B$206,MATCH($D75,'1 Žaliavų gavimas'!$D$4:$D$206,0)),"")&lt;&gt;$C75,"PARTIJA NE TOS ŽALIAVOS",IF(AND($I75&lt;&gt;"",$I75&lt;$A75),"PASIBAIGĘS GALIOJIMAS","OK")))</x:f>
      </x:c>
    </x:row>
    <x:row r="76">
      <x:c r="A76" s="4"/>
      <x:c r="B76" s="3"/>
      <x:c r="C76" s="3"/>
      <x:c r="D76" s="3"/>
      <x:c r="E76" s="5"/>
      <x:c r="F76" s="3"/>
      <x:c r="G76" s="3"/>
      <x:c r="H76" s="3"/>
      <x:c r="I76" s="8" t="str">
        <x:f>IF($D76="","",IFERROR(INDEX('1 Žaliavų gavimas'!$G$4:$G$206,MATCH($D76,'1 Žaliavų gavimas'!$D$4:$D$206,0)),""))</x:f>
      </x:c>
      <x:c r="J76" s="2" t="str">
        <x:f>IF($D76="","",IF(IFERROR(INDEX('1 Žaliavų gavimas'!$B$4:$B$206,MATCH($D76,'1 Žaliavų gavimas'!$D$4:$D$206,0)),"")&lt;&gt;$C76,"PARTIJA NE TOS ŽALIAVOS",IF(AND($I76&lt;&gt;"",$I76&lt;$A76),"PASIBAIGĘS GALIOJIMAS","OK")))</x:f>
      </x:c>
    </x:row>
    <x:row r="77">
      <x:c r="A77" s="4"/>
      <x:c r="B77" s="3"/>
      <x:c r="C77" s="3"/>
      <x:c r="D77" s="3"/>
      <x:c r="E77" s="5"/>
      <x:c r="F77" s="3"/>
      <x:c r="G77" s="3"/>
      <x:c r="H77" s="3"/>
      <x:c r="I77" s="8" t="str">
        <x:f>IF($D77="","",IFERROR(INDEX('1 Žaliavų gavimas'!$G$4:$G$206,MATCH($D77,'1 Žaliavų gavimas'!$D$4:$D$206,0)),""))</x:f>
      </x:c>
      <x:c r="J77" s="2" t="str">
        <x:f>IF($D77="","",IF(IFERROR(INDEX('1 Žaliavų gavimas'!$B$4:$B$206,MATCH($D77,'1 Žaliavų gavimas'!$D$4:$D$206,0)),"")&lt;&gt;$C77,"PARTIJA NE TOS ŽALIAVOS",IF(AND($I77&lt;&gt;"",$I77&lt;$A77),"PASIBAIGĘS GALIOJIMAS","OK")))</x:f>
      </x:c>
    </x:row>
    <x:row r="78">
      <x:c r="A78" s="4"/>
      <x:c r="B78" s="3"/>
      <x:c r="C78" s="3"/>
      <x:c r="D78" s="3"/>
      <x:c r="E78" s="5"/>
      <x:c r="F78" s="3"/>
      <x:c r="G78" s="3"/>
      <x:c r="H78" s="3"/>
      <x:c r="I78" s="8" t="str">
        <x:f>IF($D78="","",IFERROR(INDEX('1 Žaliavų gavimas'!$G$4:$G$206,MATCH($D78,'1 Žaliavų gavimas'!$D$4:$D$206,0)),""))</x:f>
      </x:c>
      <x:c r="J78" s="2" t="str">
        <x:f>IF($D78="","",IF(IFERROR(INDEX('1 Žaliavų gavimas'!$B$4:$B$206,MATCH($D78,'1 Žaliavų gavimas'!$D$4:$D$206,0)),"")&lt;&gt;$C78,"PARTIJA NE TOS ŽALIAVOS",IF(AND($I78&lt;&gt;"",$I78&lt;$A78),"PASIBAIGĘS GALIOJIMAS","OK")))</x:f>
      </x:c>
    </x:row>
    <x:row r="79">
      <x:c r="A79" s="4"/>
      <x:c r="B79" s="3"/>
      <x:c r="C79" s="3"/>
      <x:c r="D79" s="3"/>
      <x:c r="E79" s="5"/>
      <x:c r="F79" s="3"/>
      <x:c r="G79" s="3"/>
      <x:c r="H79" s="3"/>
      <x:c r="I79" s="8" t="str">
        <x:f>IF($D79="","",IFERROR(INDEX('1 Žaliavų gavimas'!$G$4:$G$206,MATCH($D79,'1 Žaliavų gavimas'!$D$4:$D$206,0)),""))</x:f>
      </x:c>
      <x:c r="J79" s="2" t="str">
        <x:f>IF($D79="","",IF(IFERROR(INDEX('1 Žaliavų gavimas'!$B$4:$B$206,MATCH($D79,'1 Žaliavų gavimas'!$D$4:$D$206,0)),"")&lt;&gt;$C79,"PARTIJA NE TOS ŽALIAVOS",IF(AND($I79&lt;&gt;"",$I79&lt;$A79),"PASIBAIGĘS GALIOJIMAS","OK")))</x:f>
      </x:c>
    </x:row>
    <x:row r="80">
      <x:c r="A80" s="4"/>
      <x:c r="B80" s="3"/>
      <x:c r="C80" s="3"/>
      <x:c r="D80" s="3"/>
      <x:c r="E80" s="5"/>
      <x:c r="F80" s="3"/>
      <x:c r="G80" s="3"/>
      <x:c r="H80" s="3"/>
      <x:c r="I80" s="8" t="str">
        <x:f>IF($D80="","",IFERROR(INDEX('1 Žaliavų gavimas'!$G$4:$G$206,MATCH($D80,'1 Žaliavų gavimas'!$D$4:$D$206,0)),""))</x:f>
      </x:c>
      <x:c r="J80" s="2" t="str">
        <x:f>IF($D80="","",IF(IFERROR(INDEX('1 Žaliavų gavimas'!$B$4:$B$206,MATCH($D80,'1 Žaliavų gavimas'!$D$4:$D$206,0)),"")&lt;&gt;$C80,"PARTIJA NE TOS ŽALIAVOS",IF(AND($I80&lt;&gt;"",$I80&lt;$A80),"PASIBAIGĘS GALIOJIMAS","OK")))</x:f>
      </x:c>
    </x:row>
    <x:row r="81">
      <x:c r="A81" s="4"/>
      <x:c r="B81" s="3"/>
      <x:c r="C81" s="3"/>
      <x:c r="D81" s="3"/>
      <x:c r="E81" s="5"/>
      <x:c r="F81" s="3"/>
      <x:c r="G81" s="3"/>
      <x:c r="H81" s="3"/>
      <x:c r="I81" s="8" t="str">
        <x:f>IF($D81="","",IFERROR(INDEX('1 Žaliavų gavimas'!$G$4:$G$206,MATCH($D81,'1 Žaliavų gavimas'!$D$4:$D$206,0)),""))</x:f>
      </x:c>
      <x:c r="J81" s="2" t="str">
        <x:f>IF($D81="","",IF(IFERROR(INDEX('1 Žaliavų gavimas'!$B$4:$B$206,MATCH($D81,'1 Žaliavų gavimas'!$D$4:$D$206,0)),"")&lt;&gt;$C81,"PARTIJA NE TOS ŽALIAVOS",IF(AND($I81&lt;&gt;"",$I81&lt;$A81),"PASIBAIGĘS GALIOJIMAS","OK")))</x:f>
      </x:c>
    </x:row>
    <x:row r="82">
      <x:c r="A82" s="4"/>
      <x:c r="B82" s="3"/>
      <x:c r="C82" s="3"/>
      <x:c r="D82" s="3"/>
      <x:c r="E82" s="5"/>
      <x:c r="F82" s="3"/>
      <x:c r="G82" s="3"/>
      <x:c r="H82" s="3"/>
      <x:c r="I82" s="8" t="str">
        <x:f>IF($D82="","",IFERROR(INDEX('1 Žaliavų gavimas'!$G$4:$G$206,MATCH($D82,'1 Žaliavų gavimas'!$D$4:$D$206,0)),""))</x:f>
      </x:c>
      <x:c r="J82" s="2" t="str">
        <x:f>IF($D82="","",IF(IFERROR(INDEX('1 Žaliavų gavimas'!$B$4:$B$206,MATCH($D82,'1 Žaliavų gavimas'!$D$4:$D$206,0)),"")&lt;&gt;$C82,"PARTIJA NE TOS ŽALIAVOS",IF(AND($I82&lt;&gt;"",$I82&lt;$A82),"PASIBAIGĘS GALIOJIMAS","OK")))</x:f>
      </x:c>
    </x:row>
    <x:row r="83">
      <x:c r="A83" s="4"/>
      <x:c r="B83" s="3"/>
      <x:c r="C83" s="3"/>
      <x:c r="D83" s="3"/>
      <x:c r="E83" s="5"/>
      <x:c r="F83" s="3"/>
      <x:c r="G83" s="3"/>
      <x:c r="H83" s="3"/>
      <x:c r="I83" s="8" t="str">
        <x:f>IF($D83="","",IFERROR(INDEX('1 Žaliavų gavimas'!$G$4:$G$206,MATCH($D83,'1 Žaliavų gavimas'!$D$4:$D$206,0)),""))</x:f>
      </x:c>
      <x:c r="J83" s="2" t="str">
        <x:f>IF($D83="","",IF(IFERROR(INDEX('1 Žaliavų gavimas'!$B$4:$B$206,MATCH($D83,'1 Žaliavų gavimas'!$D$4:$D$206,0)),"")&lt;&gt;$C83,"PARTIJA NE TOS ŽALIAVOS",IF(AND($I83&lt;&gt;"",$I83&lt;$A83),"PASIBAIGĘS GALIOJIMAS","OK")))</x:f>
      </x:c>
    </x:row>
    <x:row r="84">
      <x:c r="A84" s="4"/>
      <x:c r="B84" s="3"/>
      <x:c r="C84" s="3"/>
      <x:c r="D84" s="3"/>
      <x:c r="E84" s="5"/>
      <x:c r="F84" s="3"/>
      <x:c r="G84" s="3"/>
      <x:c r="H84" s="3"/>
      <x:c r="I84" s="8" t="str">
        <x:f>IF($D84="","",IFERROR(INDEX('1 Žaliavų gavimas'!$G$4:$G$206,MATCH($D84,'1 Žaliavų gavimas'!$D$4:$D$206,0)),""))</x:f>
      </x:c>
      <x:c r="J84" s="2" t="str">
        <x:f>IF($D84="","",IF(IFERROR(INDEX('1 Žaliavų gavimas'!$B$4:$B$206,MATCH($D84,'1 Žaliavų gavimas'!$D$4:$D$206,0)),"")&lt;&gt;$C84,"PARTIJA NE TOS ŽALIAVOS",IF(AND($I84&lt;&gt;"",$I84&lt;$A84),"PASIBAIGĘS GALIOJIMAS","OK")))</x:f>
      </x:c>
    </x:row>
    <x:row r="85">
      <x:c r="A85" s="4"/>
      <x:c r="B85" s="3"/>
      <x:c r="C85" s="3"/>
      <x:c r="D85" s="3"/>
      <x:c r="E85" s="5"/>
      <x:c r="F85" s="3"/>
      <x:c r="G85" s="3"/>
      <x:c r="H85" s="3"/>
      <x:c r="I85" s="8" t="str">
        <x:f>IF($D85="","",IFERROR(INDEX('1 Žaliavų gavimas'!$G$4:$G$206,MATCH($D85,'1 Žaliavų gavimas'!$D$4:$D$206,0)),""))</x:f>
      </x:c>
      <x:c r="J85" s="2" t="str">
        <x:f>IF($D85="","",IF(IFERROR(INDEX('1 Žaliavų gavimas'!$B$4:$B$206,MATCH($D85,'1 Žaliavų gavimas'!$D$4:$D$206,0)),"")&lt;&gt;$C85,"PARTIJA NE TOS ŽALIAVOS",IF(AND($I85&lt;&gt;"",$I85&lt;$A85),"PASIBAIGĘS GALIOJIMAS","OK")))</x:f>
      </x:c>
    </x:row>
    <x:row r="86">
      <x:c r="A86" s="4"/>
      <x:c r="B86" s="3"/>
      <x:c r="C86" s="3"/>
      <x:c r="D86" s="3"/>
      <x:c r="E86" s="5"/>
      <x:c r="F86" s="3"/>
      <x:c r="G86" s="3"/>
      <x:c r="H86" s="3"/>
      <x:c r="I86" s="8" t="str">
        <x:f>IF($D86="","",IFERROR(INDEX('1 Žaliavų gavimas'!$G$4:$G$206,MATCH($D86,'1 Žaliavų gavimas'!$D$4:$D$206,0)),""))</x:f>
      </x:c>
      <x:c r="J86" s="2" t="str">
        <x:f>IF($D86="","",IF(IFERROR(INDEX('1 Žaliavų gavimas'!$B$4:$B$206,MATCH($D86,'1 Žaliavų gavimas'!$D$4:$D$206,0)),"")&lt;&gt;$C86,"PARTIJA NE TOS ŽALIAVOS",IF(AND($I86&lt;&gt;"",$I86&lt;$A86),"PASIBAIGĘS GALIOJIMAS","OK")))</x:f>
      </x:c>
    </x:row>
    <x:row r="87">
      <x:c r="A87" s="4"/>
      <x:c r="B87" s="3"/>
      <x:c r="C87" s="3"/>
      <x:c r="D87" s="3"/>
      <x:c r="E87" s="5"/>
      <x:c r="F87" s="3"/>
      <x:c r="G87" s="3"/>
      <x:c r="H87" s="3"/>
      <x:c r="I87" s="8" t="str">
        <x:f>IF($D87="","",IFERROR(INDEX('1 Žaliavų gavimas'!$G$4:$G$206,MATCH($D87,'1 Žaliavų gavimas'!$D$4:$D$206,0)),""))</x:f>
      </x:c>
      <x:c r="J87" s="2" t="str">
        <x:f>IF($D87="","",IF(IFERROR(INDEX('1 Žaliavų gavimas'!$B$4:$B$206,MATCH($D87,'1 Žaliavų gavimas'!$D$4:$D$206,0)),"")&lt;&gt;$C87,"PARTIJA NE TOS ŽALIAVOS",IF(AND($I87&lt;&gt;"",$I87&lt;$A87),"PASIBAIGĘS GALIOJIMAS","OK")))</x:f>
      </x:c>
    </x:row>
    <x:row r="88">
      <x:c r="A88" s="4"/>
      <x:c r="B88" s="3"/>
      <x:c r="C88" s="3"/>
      <x:c r="D88" s="3"/>
      <x:c r="E88" s="5"/>
      <x:c r="F88" s="3"/>
      <x:c r="G88" s="3"/>
      <x:c r="H88" s="3"/>
      <x:c r="I88" s="8" t="str">
        <x:f>IF($D88="","",IFERROR(INDEX('1 Žaliavų gavimas'!$G$4:$G$206,MATCH($D88,'1 Žaliavų gavimas'!$D$4:$D$206,0)),""))</x:f>
      </x:c>
      <x:c r="J88" s="2" t="str">
        <x:f>IF($D88="","",IF(IFERROR(INDEX('1 Žaliavų gavimas'!$B$4:$B$206,MATCH($D88,'1 Žaliavų gavimas'!$D$4:$D$206,0)),"")&lt;&gt;$C88,"PARTIJA NE TOS ŽALIAVOS",IF(AND($I88&lt;&gt;"",$I88&lt;$A88),"PASIBAIGĘS GALIOJIMAS","OK")))</x:f>
      </x:c>
    </x:row>
    <x:row r="89">
      <x:c r="A89" s="4"/>
      <x:c r="B89" s="3"/>
      <x:c r="C89" s="3"/>
      <x:c r="D89" s="3"/>
      <x:c r="E89" s="5"/>
      <x:c r="F89" s="3"/>
      <x:c r="G89" s="3"/>
      <x:c r="H89" s="3"/>
      <x:c r="I89" s="8" t="str">
        <x:f>IF($D89="","",IFERROR(INDEX('1 Žaliavų gavimas'!$G$4:$G$206,MATCH($D89,'1 Žaliavų gavimas'!$D$4:$D$206,0)),""))</x:f>
      </x:c>
      <x:c r="J89" s="2" t="str">
        <x:f>IF($D89="","",IF(IFERROR(INDEX('1 Žaliavų gavimas'!$B$4:$B$206,MATCH($D89,'1 Žaliavų gavimas'!$D$4:$D$206,0)),"")&lt;&gt;$C89,"PARTIJA NE TOS ŽALIAVOS",IF(AND($I89&lt;&gt;"",$I89&lt;$A89),"PASIBAIGĘS GALIOJIMAS","OK")))</x:f>
      </x:c>
    </x:row>
    <x:row r="90">
      <x:c r="A90" s="4"/>
      <x:c r="B90" s="3"/>
      <x:c r="C90" s="3"/>
      <x:c r="D90" s="3"/>
      <x:c r="E90" s="5"/>
      <x:c r="F90" s="3"/>
      <x:c r="G90" s="3"/>
      <x:c r="H90" s="3"/>
      <x:c r="I90" s="8" t="str">
        <x:f>IF($D90="","",IFERROR(INDEX('1 Žaliavų gavimas'!$G$4:$G$206,MATCH($D90,'1 Žaliavų gavimas'!$D$4:$D$206,0)),""))</x:f>
      </x:c>
      <x:c r="J90" s="2" t="str">
        <x:f>IF($D90="","",IF(IFERROR(INDEX('1 Žaliavų gavimas'!$B$4:$B$206,MATCH($D90,'1 Žaliavų gavimas'!$D$4:$D$206,0)),"")&lt;&gt;$C90,"PARTIJA NE TOS ŽALIAVOS",IF(AND($I90&lt;&gt;"",$I90&lt;$A90),"PASIBAIGĘS GALIOJIMAS","OK")))</x:f>
      </x:c>
    </x:row>
    <x:row r="91">
      <x:c r="A91" s="4"/>
      <x:c r="B91" s="3"/>
      <x:c r="C91" s="3"/>
      <x:c r="D91" s="3"/>
      <x:c r="E91" s="5"/>
      <x:c r="F91" s="3"/>
      <x:c r="G91" s="3"/>
      <x:c r="H91" s="3"/>
      <x:c r="I91" s="8" t="str">
        <x:f>IF($D91="","",IFERROR(INDEX('1 Žaliavų gavimas'!$G$4:$G$206,MATCH($D91,'1 Žaliavų gavimas'!$D$4:$D$206,0)),""))</x:f>
      </x:c>
      <x:c r="J91" s="2" t="str">
        <x:f>IF($D91="","",IF(IFERROR(INDEX('1 Žaliavų gavimas'!$B$4:$B$206,MATCH($D91,'1 Žaliavų gavimas'!$D$4:$D$206,0)),"")&lt;&gt;$C91,"PARTIJA NE TOS ŽALIAVOS",IF(AND($I91&lt;&gt;"",$I91&lt;$A91),"PASIBAIGĘS GALIOJIMAS","OK")))</x:f>
      </x:c>
    </x:row>
    <x:row r="92">
      <x:c r="A92" s="4"/>
      <x:c r="B92" s="3"/>
      <x:c r="C92" s="3"/>
      <x:c r="D92" s="3"/>
      <x:c r="E92" s="5"/>
      <x:c r="F92" s="3"/>
      <x:c r="G92" s="3"/>
      <x:c r="H92" s="3"/>
      <x:c r="I92" s="8" t="str">
        <x:f>IF($D92="","",IFERROR(INDEX('1 Žaliavų gavimas'!$G$4:$G$206,MATCH($D92,'1 Žaliavų gavimas'!$D$4:$D$206,0)),""))</x:f>
      </x:c>
      <x:c r="J92" s="2" t="str">
        <x:f>IF($D92="","",IF(IFERROR(INDEX('1 Žaliavų gavimas'!$B$4:$B$206,MATCH($D92,'1 Žaliavų gavimas'!$D$4:$D$206,0)),"")&lt;&gt;$C92,"PARTIJA NE TOS ŽALIAVOS",IF(AND($I92&lt;&gt;"",$I92&lt;$A92),"PASIBAIGĘS GALIOJIMAS","OK")))</x:f>
      </x:c>
    </x:row>
    <x:row r="93">
      <x:c r="A93" s="4"/>
      <x:c r="B93" s="3"/>
      <x:c r="C93" s="3"/>
      <x:c r="D93" s="3"/>
      <x:c r="E93" s="5"/>
      <x:c r="F93" s="3"/>
      <x:c r="G93" s="3"/>
      <x:c r="H93" s="3"/>
      <x:c r="I93" s="8" t="str">
        <x:f>IF($D93="","",IFERROR(INDEX('1 Žaliavų gavimas'!$G$4:$G$206,MATCH($D93,'1 Žaliavų gavimas'!$D$4:$D$206,0)),""))</x:f>
      </x:c>
      <x:c r="J93" s="2" t="str">
        <x:f>IF($D93="","",IF(IFERROR(INDEX('1 Žaliavų gavimas'!$B$4:$B$206,MATCH($D93,'1 Žaliavų gavimas'!$D$4:$D$206,0)),"")&lt;&gt;$C93,"PARTIJA NE TOS ŽALIAVOS",IF(AND($I93&lt;&gt;"",$I93&lt;$A93),"PASIBAIGĘS GALIOJIMAS","OK")))</x:f>
      </x:c>
    </x:row>
    <x:row r="94">
      <x:c r="A94" s="4"/>
      <x:c r="B94" s="3"/>
      <x:c r="C94" s="3"/>
      <x:c r="D94" s="3"/>
      <x:c r="E94" s="5"/>
      <x:c r="F94" s="3"/>
      <x:c r="G94" s="3"/>
      <x:c r="H94" s="3"/>
      <x:c r="I94" s="8" t="str">
        <x:f>IF($D94="","",IFERROR(INDEX('1 Žaliavų gavimas'!$G$4:$G$206,MATCH($D94,'1 Žaliavų gavimas'!$D$4:$D$206,0)),""))</x:f>
      </x:c>
      <x:c r="J94" s="2" t="str">
        <x:f>IF($D94="","",IF(IFERROR(INDEX('1 Žaliavų gavimas'!$B$4:$B$206,MATCH($D94,'1 Žaliavų gavimas'!$D$4:$D$206,0)),"")&lt;&gt;$C94,"PARTIJA NE TOS ŽALIAVOS",IF(AND($I94&lt;&gt;"",$I94&lt;$A94),"PASIBAIGĘS GALIOJIMAS","OK")))</x:f>
      </x:c>
    </x:row>
    <x:row r="95">
      <x:c r="A95" s="4"/>
      <x:c r="B95" s="3"/>
      <x:c r="C95" s="3"/>
      <x:c r="D95" s="3"/>
      <x:c r="E95" s="5"/>
      <x:c r="F95" s="3"/>
      <x:c r="G95" s="3"/>
      <x:c r="H95" s="3"/>
      <x:c r="I95" s="8" t="str">
        <x:f>IF($D95="","",IFERROR(INDEX('1 Žaliavų gavimas'!$G$4:$G$206,MATCH($D95,'1 Žaliavų gavimas'!$D$4:$D$206,0)),""))</x:f>
      </x:c>
      <x:c r="J95" s="2" t="str">
        <x:f>IF($D95="","",IF(IFERROR(INDEX('1 Žaliavų gavimas'!$B$4:$B$206,MATCH($D95,'1 Žaliavų gavimas'!$D$4:$D$206,0)),"")&lt;&gt;$C95,"PARTIJA NE TOS ŽALIAVOS",IF(AND($I95&lt;&gt;"",$I95&lt;$A95),"PASIBAIGĘS GALIOJIMAS","OK")))</x:f>
      </x:c>
    </x:row>
    <x:row r="96">
      <x:c r="A96" s="4"/>
      <x:c r="B96" s="3"/>
      <x:c r="C96" s="3"/>
      <x:c r="D96" s="3"/>
      <x:c r="E96" s="5"/>
      <x:c r="F96" s="3"/>
      <x:c r="G96" s="3"/>
      <x:c r="H96" s="3"/>
      <x:c r="I96" s="8" t="str">
        <x:f>IF($D96="","",IFERROR(INDEX('1 Žaliavų gavimas'!$G$4:$G$206,MATCH($D96,'1 Žaliavų gavimas'!$D$4:$D$206,0)),""))</x:f>
      </x:c>
      <x:c r="J96" s="2" t="str">
        <x:f>IF($D96="","",IF(IFERROR(INDEX('1 Žaliavų gavimas'!$B$4:$B$206,MATCH($D96,'1 Žaliavų gavimas'!$D$4:$D$206,0)),"")&lt;&gt;$C96,"PARTIJA NE TOS ŽALIAVOS",IF(AND($I96&lt;&gt;"",$I96&lt;$A96),"PASIBAIGĘS GALIOJIMAS","OK")))</x:f>
      </x:c>
    </x:row>
    <x:row r="97">
      <x:c r="A97" s="4"/>
      <x:c r="B97" s="3"/>
      <x:c r="C97" s="3"/>
      <x:c r="D97" s="3"/>
      <x:c r="E97" s="5"/>
      <x:c r="F97" s="3"/>
      <x:c r="G97" s="3"/>
      <x:c r="H97" s="3"/>
      <x:c r="I97" s="8" t="str">
        <x:f>IF($D97="","",IFERROR(INDEX('1 Žaliavų gavimas'!$G$4:$G$206,MATCH($D97,'1 Žaliavų gavimas'!$D$4:$D$206,0)),""))</x:f>
      </x:c>
      <x:c r="J97" s="2" t="str">
        <x:f>IF($D97="","",IF(IFERROR(INDEX('1 Žaliavų gavimas'!$B$4:$B$206,MATCH($D97,'1 Žaliavų gavimas'!$D$4:$D$206,0)),"")&lt;&gt;$C97,"PARTIJA NE TOS ŽALIAVOS",IF(AND($I97&lt;&gt;"",$I97&lt;$A97),"PASIBAIGĘS GALIOJIMAS","OK")))</x:f>
      </x:c>
    </x:row>
    <x:row r="98">
      <x:c r="A98" s="4"/>
      <x:c r="B98" s="3"/>
      <x:c r="C98" s="3"/>
      <x:c r="D98" s="3"/>
      <x:c r="E98" s="5"/>
      <x:c r="F98" s="3"/>
      <x:c r="G98" s="3"/>
      <x:c r="H98" s="3"/>
      <x:c r="I98" s="8" t="str">
        <x:f>IF($D98="","",IFERROR(INDEX('1 Žaliavų gavimas'!$G$4:$G$206,MATCH($D98,'1 Žaliavų gavimas'!$D$4:$D$206,0)),""))</x:f>
      </x:c>
      <x:c r="J98" s="2" t="str">
        <x:f>IF($D98="","",IF(IFERROR(INDEX('1 Žaliavų gavimas'!$B$4:$B$206,MATCH($D98,'1 Žaliavų gavimas'!$D$4:$D$206,0)),"")&lt;&gt;$C98,"PARTIJA NE TOS ŽALIAVOS",IF(AND($I98&lt;&gt;"",$I98&lt;$A98),"PASIBAIGĘS GALIOJIMAS","OK")))</x:f>
      </x:c>
    </x:row>
    <x:row r="99">
      <x:c r="A99" s="4"/>
      <x:c r="B99" s="3"/>
      <x:c r="C99" s="3"/>
      <x:c r="D99" s="3"/>
      <x:c r="E99" s="5"/>
      <x:c r="F99" s="3"/>
      <x:c r="G99" s="3"/>
      <x:c r="H99" s="3"/>
      <x:c r="I99" s="8" t="str">
        <x:f>IF($D99="","",IFERROR(INDEX('1 Žaliavų gavimas'!$G$4:$G$206,MATCH($D99,'1 Žaliavų gavimas'!$D$4:$D$206,0)),""))</x:f>
      </x:c>
      <x:c r="J99" s="2" t="str">
        <x:f>IF($D99="","",IF(IFERROR(INDEX('1 Žaliavų gavimas'!$B$4:$B$206,MATCH($D99,'1 Žaliavų gavimas'!$D$4:$D$206,0)),"")&lt;&gt;$C99,"PARTIJA NE TOS ŽALIAVOS",IF(AND($I99&lt;&gt;"",$I99&lt;$A99),"PASIBAIGĘS GALIOJIMAS","OK")))</x:f>
      </x:c>
    </x:row>
    <x:row r="100">
      <x:c r="A100" s="4"/>
      <x:c r="B100" s="3"/>
      <x:c r="C100" s="3"/>
      <x:c r="D100" s="3"/>
      <x:c r="E100" s="5"/>
      <x:c r="F100" s="3"/>
      <x:c r="G100" s="3"/>
      <x:c r="H100" s="3"/>
      <x:c r="I100" s="8" t="str">
        <x:f>IF($D100="","",IFERROR(INDEX('1 Žaliavų gavimas'!$G$4:$G$206,MATCH($D100,'1 Žaliavų gavimas'!$D$4:$D$206,0)),""))</x:f>
      </x:c>
      <x:c r="J100" s="2" t="str">
        <x:f>IF($D100="","",IF(IFERROR(INDEX('1 Žaliavų gavimas'!$B$4:$B$206,MATCH($D100,'1 Žaliavų gavimas'!$D$4:$D$206,0)),"")&lt;&gt;$C100,"PARTIJA NE TOS ŽALIAVOS",IF(AND($I100&lt;&gt;"",$I100&lt;$A100),"PASIBAIGĘS GALIOJIMAS","OK")))</x:f>
      </x:c>
    </x:row>
    <x:row r="101">
      <x:c r="A101" s="4"/>
      <x:c r="B101" s="3"/>
      <x:c r="C101" s="3"/>
      <x:c r="D101" s="3"/>
      <x:c r="E101" s="5"/>
      <x:c r="F101" s="3"/>
      <x:c r="G101" s="3"/>
      <x:c r="H101" s="3"/>
      <x:c r="I101" s="8" t="str">
        <x:f>IF($D101="","",IFERROR(INDEX('1 Žaliavų gavimas'!$G$4:$G$206,MATCH($D101,'1 Žaliavų gavimas'!$D$4:$D$206,0)),""))</x:f>
      </x:c>
      <x:c r="J101" s="2" t="str">
        <x:f>IF($D101="","",IF(IFERROR(INDEX('1 Žaliavų gavimas'!$B$4:$B$206,MATCH($D101,'1 Žaliavų gavimas'!$D$4:$D$206,0)),"")&lt;&gt;$C101,"PARTIJA NE TOS ŽALIAVOS",IF(AND($I101&lt;&gt;"",$I101&lt;$A101),"PASIBAIGĘS GALIOJIMAS","OK")))</x:f>
      </x:c>
    </x:row>
    <x:row r="102">
      <x:c r="A102" s="4"/>
      <x:c r="B102" s="3"/>
      <x:c r="C102" s="3"/>
      <x:c r="D102" s="3"/>
      <x:c r="E102" s="5"/>
      <x:c r="F102" s="3"/>
      <x:c r="G102" s="3"/>
      <x:c r="H102" s="3"/>
      <x:c r="I102" s="8" t="str">
        <x:f>IF($D102="","",IFERROR(INDEX('1 Žaliavų gavimas'!$G$4:$G$206,MATCH($D102,'1 Žaliavų gavimas'!$D$4:$D$206,0)),""))</x:f>
      </x:c>
      <x:c r="J102" s="2" t="str">
        <x:f>IF($D102="","",IF(IFERROR(INDEX('1 Žaliavų gavimas'!$B$4:$B$206,MATCH($D102,'1 Žaliavų gavimas'!$D$4:$D$206,0)),"")&lt;&gt;$C102,"PARTIJA NE TOS ŽALIAVOS",IF(AND($I102&lt;&gt;"",$I102&lt;$A102),"PASIBAIGĘS GALIOJIMAS","OK")))</x:f>
      </x:c>
    </x:row>
    <x:row r="103">
      <x:c r="A103" s="4"/>
      <x:c r="B103" s="3"/>
      <x:c r="C103" s="3"/>
      <x:c r="D103" s="3"/>
      <x:c r="E103" s="5"/>
      <x:c r="F103" s="3"/>
      <x:c r="G103" s="3"/>
      <x:c r="H103" s="3"/>
      <x:c r="I103" s="8" t="str">
        <x:f>IF($D103="","",IFERROR(INDEX('1 Žaliavų gavimas'!$G$4:$G$206,MATCH($D103,'1 Žaliavų gavimas'!$D$4:$D$206,0)),""))</x:f>
      </x:c>
      <x:c r="J103" s="2" t="str">
        <x:f>IF($D103="","",IF(IFERROR(INDEX('1 Žaliavų gavimas'!$B$4:$B$206,MATCH($D103,'1 Žaliavų gavimas'!$D$4:$D$206,0)),"")&lt;&gt;$C103,"PARTIJA NE TOS ŽALIAVOS",IF(AND($I103&lt;&gt;"",$I103&lt;$A103),"PASIBAIGĘS GALIOJIMAS","OK")))</x:f>
      </x:c>
    </x:row>
    <x:row r="104">
      <x:c r="A104" s="4"/>
      <x:c r="B104" s="3"/>
      <x:c r="C104" s="3"/>
      <x:c r="D104" s="3"/>
      <x:c r="E104" s="5"/>
      <x:c r="F104" s="3"/>
      <x:c r="G104" s="3"/>
      <x:c r="H104" s="3"/>
      <x:c r="I104" s="8" t="str">
        <x:f>IF($D104="","",IFERROR(INDEX('1 Žaliavų gavimas'!$G$4:$G$206,MATCH($D104,'1 Žaliavų gavimas'!$D$4:$D$206,0)),""))</x:f>
      </x:c>
      <x:c r="J104" s="2" t="str">
        <x:f>IF($D104="","",IF(IFERROR(INDEX('1 Žaliavų gavimas'!$B$4:$B$206,MATCH($D104,'1 Žaliavų gavimas'!$D$4:$D$206,0)),"")&lt;&gt;$C104,"PARTIJA NE TOS ŽALIAVOS",IF(AND($I104&lt;&gt;"",$I104&lt;$A104),"PASIBAIGĘS GALIOJIMAS","OK")))</x:f>
      </x:c>
    </x:row>
    <x:row r="105">
      <x:c r="A105" s="4"/>
      <x:c r="B105" s="3"/>
      <x:c r="C105" s="3"/>
      <x:c r="D105" s="3"/>
      <x:c r="E105" s="5"/>
      <x:c r="F105" s="3"/>
      <x:c r="G105" s="3"/>
      <x:c r="H105" s="3"/>
      <x:c r="I105" s="8" t="str">
        <x:f>IF($D105="","",IFERROR(INDEX('1 Žaliavų gavimas'!$G$4:$G$206,MATCH($D105,'1 Žaliavų gavimas'!$D$4:$D$206,0)),""))</x:f>
      </x:c>
      <x:c r="J105" s="2" t="str">
        <x:f>IF($D105="","",IF(IFERROR(INDEX('1 Žaliavų gavimas'!$B$4:$B$206,MATCH($D105,'1 Žaliavų gavimas'!$D$4:$D$206,0)),"")&lt;&gt;$C105,"PARTIJA NE TOS ŽALIAVOS",IF(AND($I105&lt;&gt;"",$I105&lt;$A105),"PASIBAIGĘS GALIOJIMAS","OK")))</x:f>
      </x:c>
    </x:row>
    <x:row r="106">
      <x:c r="A106" s="4"/>
      <x:c r="B106" s="3"/>
      <x:c r="C106" s="3"/>
      <x:c r="D106" s="3"/>
      <x:c r="E106" s="5"/>
      <x:c r="F106" s="3"/>
      <x:c r="G106" s="3"/>
      <x:c r="H106" s="3"/>
      <x:c r="I106" s="8" t="str">
        <x:f>IF($D106="","",IFERROR(INDEX('1 Žaliavų gavimas'!$G$4:$G$206,MATCH($D106,'1 Žaliavų gavimas'!$D$4:$D$206,0)),""))</x:f>
      </x:c>
      <x:c r="J106" s="2" t="str">
        <x:f>IF($D106="","",IF(IFERROR(INDEX('1 Žaliavų gavimas'!$B$4:$B$206,MATCH($D106,'1 Žaliavų gavimas'!$D$4:$D$206,0)),"")&lt;&gt;$C106,"PARTIJA NE TOS ŽALIAVOS",IF(AND($I106&lt;&gt;"",$I106&lt;$A106),"PASIBAIGĘS GALIOJIMAS","OK")))</x:f>
      </x:c>
    </x:row>
    <x:row r="107">
      <x:c r="A107" s="4"/>
      <x:c r="B107" s="3"/>
      <x:c r="C107" s="3"/>
      <x:c r="D107" s="3"/>
      <x:c r="E107" s="5"/>
      <x:c r="F107" s="3"/>
      <x:c r="G107" s="3"/>
      <x:c r="H107" s="3"/>
      <x:c r="I107" s="8" t="str">
        <x:f>IF($D107="","",IFERROR(INDEX('1 Žaliavų gavimas'!$G$4:$G$206,MATCH($D107,'1 Žaliavų gavimas'!$D$4:$D$206,0)),""))</x:f>
      </x:c>
      <x:c r="J107" s="2" t="str">
        <x:f>IF($D107="","",IF(IFERROR(INDEX('1 Žaliavų gavimas'!$B$4:$B$206,MATCH($D107,'1 Žaliavų gavimas'!$D$4:$D$206,0)),"")&lt;&gt;$C107,"PARTIJA NE TOS ŽALIAVOS",IF(AND($I107&lt;&gt;"",$I107&lt;$A107),"PASIBAIGĘS GALIOJIMAS","OK")))</x:f>
      </x:c>
    </x:row>
    <x:row r="108">
      <x:c r="A108" s="4"/>
      <x:c r="B108" s="3"/>
      <x:c r="C108" s="3"/>
      <x:c r="D108" s="3"/>
      <x:c r="E108" s="5"/>
      <x:c r="F108" s="3"/>
      <x:c r="G108" s="3"/>
      <x:c r="H108" s="3"/>
      <x:c r="I108" s="8" t="str">
        <x:f>IF($D108="","",IFERROR(INDEX('1 Žaliavų gavimas'!$G$4:$G$206,MATCH($D108,'1 Žaliavų gavimas'!$D$4:$D$206,0)),""))</x:f>
      </x:c>
      <x:c r="J108" s="2" t="str">
        <x:f>IF($D108="","",IF(IFERROR(INDEX('1 Žaliavų gavimas'!$B$4:$B$206,MATCH($D108,'1 Žaliavų gavimas'!$D$4:$D$206,0)),"")&lt;&gt;$C108,"PARTIJA NE TOS ŽALIAVOS",IF(AND($I108&lt;&gt;"",$I108&lt;$A108),"PASIBAIGĘS GALIOJIMAS","OK")))</x:f>
      </x:c>
    </x:row>
    <x:row r="109">
      <x:c r="A109" s="4"/>
      <x:c r="B109" s="3"/>
      <x:c r="C109" s="3"/>
      <x:c r="D109" s="3"/>
      <x:c r="E109" s="5"/>
      <x:c r="F109" s="3"/>
      <x:c r="G109" s="3"/>
      <x:c r="H109" s="3"/>
      <x:c r="I109" s="8" t="str">
        <x:f>IF($D109="","",IFERROR(INDEX('1 Žaliavų gavimas'!$G$4:$G$206,MATCH($D109,'1 Žaliavų gavimas'!$D$4:$D$206,0)),""))</x:f>
      </x:c>
      <x:c r="J109" s="2" t="str">
        <x:f>IF($D109="","",IF(IFERROR(INDEX('1 Žaliavų gavimas'!$B$4:$B$206,MATCH($D109,'1 Žaliavų gavimas'!$D$4:$D$206,0)),"")&lt;&gt;$C109,"PARTIJA NE TOS ŽALIAVOS",IF(AND($I109&lt;&gt;"",$I109&lt;$A109),"PASIBAIGĘS GALIOJIMAS","OK")))</x:f>
      </x:c>
    </x:row>
    <x:row r="110">
      <x:c r="A110" s="4"/>
      <x:c r="B110" s="3"/>
      <x:c r="C110" s="3"/>
      <x:c r="D110" s="3"/>
      <x:c r="E110" s="5"/>
      <x:c r="F110" s="3"/>
      <x:c r="G110" s="3"/>
      <x:c r="H110" s="3"/>
      <x:c r="I110" s="8" t="str">
        <x:f>IF($D110="","",IFERROR(INDEX('1 Žaliavų gavimas'!$G$4:$G$206,MATCH($D110,'1 Žaliavų gavimas'!$D$4:$D$206,0)),""))</x:f>
      </x:c>
      <x:c r="J110" s="2" t="str">
        <x:f>IF($D110="","",IF(IFERROR(INDEX('1 Žaliavų gavimas'!$B$4:$B$206,MATCH($D110,'1 Žaliavų gavimas'!$D$4:$D$206,0)),"")&lt;&gt;$C110,"PARTIJA NE TOS ŽALIAVOS",IF(AND($I110&lt;&gt;"",$I110&lt;$A110),"PASIBAIGĘS GALIOJIMAS","OK")))</x:f>
      </x:c>
    </x:row>
    <x:row r="111">
      <x:c r="A111" s="4"/>
      <x:c r="B111" s="3"/>
      <x:c r="C111" s="3"/>
      <x:c r="D111" s="3"/>
      <x:c r="E111" s="5"/>
      <x:c r="F111" s="3"/>
      <x:c r="G111" s="3"/>
      <x:c r="H111" s="3"/>
      <x:c r="I111" s="8" t="str">
        <x:f>IF($D111="","",IFERROR(INDEX('1 Žaliavų gavimas'!$G$4:$G$206,MATCH($D111,'1 Žaliavų gavimas'!$D$4:$D$206,0)),""))</x:f>
      </x:c>
      <x:c r="J111" s="2" t="str">
        <x:f>IF($D111="","",IF(IFERROR(INDEX('1 Žaliavų gavimas'!$B$4:$B$206,MATCH($D111,'1 Žaliavų gavimas'!$D$4:$D$206,0)),"")&lt;&gt;$C111,"PARTIJA NE TOS ŽALIAVOS",IF(AND($I111&lt;&gt;"",$I111&lt;$A111),"PASIBAIGĘS GALIOJIMAS","OK")))</x:f>
      </x:c>
    </x:row>
    <x:row r="112">
      <x:c r="A112" s="4"/>
      <x:c r="B112" s="3"/>
      <x:c r="C112" s="3"/>
      <x:c r="D112" s="3"/>
      <x:c r="E112" s="5"/>
      <x:c r="F112" s="3"/>
      <x:c r="G112" s="3"/>
      <x:c r="H112" s="3"/>
      <x:c r="I112" s="8" t="str">
        <x:f>IF($D112="","",IFERROR(INDEX('1 Žaliavų gavimas'!$G$4:$G$206,MATCH($D112,'1 Žaliavų gavimas'!$D$4:$D$206,0)),""))</x:f>
      </x:c>
      <x:c r="J112" s="2" t="str">
        <x:f>IF($D112="","",IF(IFERROR(INDEX('1 Žaliavų gavimas'!$B$4:$B$206,MATCH($D112,'1 Žaliavų gavimas'!$D$4:$D$206,0)),"")&lt;&gt;$C112,"PARTIJA NE TOS ŽALIAVOS",IF(AND($I112&lt;&gt;"",$I112&lt;$A112),"PASIBAIGĘS GALIOJIMAS","OK")))</x:f>
      </x:c>
    </x:row>
    <x:row r="113">
      <x:c r="A113" s="4"/>
      <x:c r="B113" s="3"/>
      <x:c r="C113" s="3"/>
      <x:c r="D113" s="3"/>
      <x:c r="E113" s="5"/>
      <x:c r="F113" s="3"/>
      <x:c r="G113" s="3"/>
      <x:c r="H113" s="3"/>
      <x:c r="I113" s="8" t="str">
        <x:f>IF($D113="","",IFERROR(INDEX('1 Žaliavų gavimas'!$G$4:$G$206,MATCH($D113,'1 Žaliavų gavimas'!$D$4:$D$206,0)),""))</x:f>
      </x:c>
      <x:c r="J113" s="2" t="str">
        <x:f>IF($D113="","",IF(IFERROR(INDEX('1 Žaliavų gavimas'!$B$4:$B$206,MATCH($D113,'1 Žaliavų gavimas'!$D$4:$D$206,0)),"")&lt;&gt;$C113,"PARTIJA NE TOS ŽALIAVOS",IF(AND($I113&lt;&gt;"",$I113&lt;$A113),"PASIBAIGĘS GALIOJIMAS","OK")))</x:f>
      </x:c>
    </x:row>
    <x:row r="114">
      <x:c r="A114" s="4"/>
      <x:c r="B114" s="3"/>
      <x:c r="C114" s="3"/>
      <x:c r="D114" s="3"/>
      <x:c r="E114" s="5"/>
      <x:c r="F114" s="3"/>
      <x:c r="G114" s="3"/>
      <x:c r="H114" s="3"/>
      <x:c r="I114" s="8" t="str">
        <x:f>IF($D114="","",IFERROR(INDEX('1 Žaliavų gavimas'!$G$4:$G$206,MATCH($D114,'1 Žaliavų gavimas'!$D$4:$D$206,0)),""))</x:f>
      </x:c>
      <x:c r="J114" s="2" t="str">
        <x:f>IF($D114="","",IF(IFERROR(INDEX('1 Žaliavų gavimas'!$B$4:$B$206,MATCH($D114,'1 Žaliavų gavimas'!$D$4:$D$206,0)),"")&lt;&gt;$C114,"PARTIJA NE TOS ŽALIAVOS",IF(AND($I114&lt;&gt;"",$I114&lt;$A114),"PASIBAIGĘS GALIOJIMAS","OK")))</x:f>
      </x:c>
    </x:row>
    <x:row r="115">
      <x:c r="A115" s="4"/>
      <x:c r="B115" s="3"/>
      <x:c r="C115" s="3"/>
      <x:c r="D115" s="3"/>
      <x:c r="E115" s="5"/>
      <x:c r="F115" s="3"/>
      <x:c r="G115" s="3"/>
      <x:c r="H115" s="3"/>
      <x:c r="I115" s="8" t="str">
        <x:f>IF($D115="","",IFERROR(INDEX('1 Žaliavų gavimas'!$G$4:$G$206,MATCH($D115,'1 Žaliavų gavimas'!$D$4:$D$206,0)),""))</x:f>
      </x:c>
      <x:c r="J115" s="2" t="str">
        <x:f>IF($D115="","",IF(IFERROR(INDEX('1 Žaliavų gavimas'!$B$4:$B$206,MATCH($D115,'1 Žaliavų gavimas'!$D$4:$D$206,0)),"")&lt;&gt;$C115,"PARTIJA NE TOS ŽALIAVOS",IF(AND($I115&lt;&gt;"",$I115&lt;$A115),"PASIBAIGĘS GALIOJIMAS","OK")))</x:f>
      </x:c>
    </x:row>
    <x:row r="116">
      <x:c r="A116" s="4"/>
      <x:c r="B116" s="3"/>
      <x:c r="C116" s="3"/>
      <x:c r="D116" s="3"/>
      <x:c r="E116" s="5"/>
      <x:c r="F116" s="3"/>
      <x:c r="G116" s="3"/>
      <x:c r="H116" s="3"/>
      <x:c r="I116" s="8" t="str">
        <x:f>IF($D116="","",IFERROR(INDEX('1 Žaliavų gavimas'!$G$4:$G$206,MATCH($D116,'1 Žaliavų gavimas'!$D$4:$D$206,0)),""))</x:f>
      </x:c>
      <x:c r="J116" s="2" t="str">
        <x:f>IF($D116="","",IF(IFERROR(INDEX('1 Žaliavų gavimas'!$B$4:$B$206,MATCH($D116,'1 Žaliavų gavimas'!$D$4:$D$206,0)),"")&lt;&gt;$C116,"PARTIJA NE TOS ŽALIAVOS",IF(AND($I116&lt;&gt;"",$I116&lt;$A116),"PASIBAIGĘS GALIOJIMAS","OK")))</x:f>
      </x:c>
    </x:row>
    <x:row r="117">
      <x:c r="A117" s="4"/>
      <x:c r="B117" s="3"/>
      <x:c r="C117" s="3"/>
      <x:c r="D117" s="3"/>
      <x:c r="E117" s="5"/>
      <x:c r="F117" s="3"/>
      <x:c r="G117" s="3"/>
      <x:c r="H117" s="3"/>
      <x:c r="I117" s="8" t="str">
        <x:f>IF($D117="","",IFERROR(INDEX('1 Žaliavų gavimas'!$G$4:$G$206,MATCH($D117,'1 Žaliavų gavimas'!$D$4:$D$206,0)),""))</x:f>
      </x:c>
      <x:c r="J117" s="2" t="str">
        <x:f>IF($D117="","",IF(IFERROR(INDEX('1 Žaliavų gavimas'!$B$4:$B$206,MATCH($D117,'1 Žaliavų gavimas'!$D$4:$D$206,0)),"")&lt;&gt;$C117,"PARTIJA NE TOS ŽALIAVOS",IF(AND($I117&lt;&gt;"",$I117&lt;$A117),"PASIBAIGĘS GALIOJIMAS","OK")))</x:f>
      </x:c>
    </x:row>
    <x:row r="118">
      <x:c r="A118" s="4"/>
      <x:c r="B118" s="3"/>
      <x:c r="C118" s="3"/>
      <x:c r="D118" s="3"/>
      <x:c r="E118" s="5"/>
      <x:c r="F118" s="3"/>
      <x:c r="G118" s="3"/>
      <x:c r="H118" s="3"/>
      <x:c r="I118" s="8" t="str">
        <x:f>IF($D118="","",IFERROR(INDEX('1 Žaliavų gavimas'!$G$4:$G$206,MATCH($D118,'1 Žaliavų gavimas'!$D$4:$D$206,0)),""))</x:f>
      </x:c>
      <x:c r="J118" s="2" t="str">
        <x:f>IF($D118="","",IF(IFERROR(INDEX('1 Žaliavų gavimas'!$B$4:$B$206,MATCH($D118,'1 Žaliavų gavimas'!$D$4:$D$206,0)),"")&lt;&gt;$C118,"PARTIJA NE TOS ŽALIAVOS",IF(AND($I118&lt;&gt;"",$I118&lt;$A118),"PASIBAIGĘS GALIOJIMAS","OK")))</x:f>
      </x:c>
    </x:row>
    <x:row r="119">
      <x:c r="A119" s="4"/>
      <x:c r="B119" s="3"/>
      <x:c r="C119" s="3"/>
      <x:c r="D119" s="3"/>
      <x:c r="E119" s="5"/>
      <x:c r="F119" s="3"/>
      <x:c r="G119" s="3"/>
      <x:c r="H119" s="3"/>
      <x:c r="I119" s="8" t="str">
        <x:f>IF($D119="","",IFERROR(INDEX('1 Žaliavų gavimas'!$G$4:$G$206,MATCH($D119,'1 Žaliavų gavimas'!$D$4:$D$206,0)),""))</x:f>
      </x:c>
      <x:c r="J119" s="2" t="str">
        <x:f>IF($D119="","",IF(IFERROR(INDEX('1 Žaliavų gavimas'!$B$4:$B$206,MATCH($D119,'1 Žaliavų gavimas'!$D$4:$D$206,0)),"")&lt;&gt;$C119,"PARTIJA NE TOS ŽALIAVOS",IF(AND($I119&lt;&gt;"",$I119&lt;$A119),"PASIBAIGĘS GALIOJIMAS","OK")))</x:f>
      </x:c>
    </x:row>
    <x:row r="120">
      <x:c r="A120" s="4"/>
      <x:c r="B120" s="3"/>
      <x:c r="C120" s="3"/>
      <x:c r="D120" s="3"/>
      <x:c r="E120" s="5"/>
      <x:c r="F120" s="3"/>
      <x:c r="G120" s="3"/>
      <x:c r="H120" s="3"/>
      <x:c r="I120" s="8" t="str">
        <x:f>IF($D120="","",IFERROR(INDEX('1 Žaliavų gavimas'!$G$4:$G$206,MATCH($D120,'1 Žaliavų gavimas'!$D$4:$D$206,0)),""))</x:f>
      </x:c>
      <x:c r="J120" s="2" t="str">
        <x:f>IF($D120="","",IF(IFERROR(INDEX('1 Žaliavų gavimas'!$B$4:$B$206,MATCH($D120,'1 Žaliavų gavimas'!$D$4:$D$206,0)),"")&lt;&gt;$C120,"PARTIJA NE TOS ŽALIAVOS",IF(AND($I120&lt;&gt;"",$I120&lt;$A120),"PASIBAIGĘS GALIOJIMAS","OK")))</x:f>
      </x:c>
    </x:row>
    <x:row r="121">
      <x:c r="A121" s="4"/>
      <x:c r="B121" s="3"/>
      <x:c r="C121" s="3"/>
      <x:c r="D121" s="3"/>
      <x:c r="E121" s="5"/>
      <x:c r="F121" s="3"/>
      <x:c r="G121" s="3"/>
      <x:c r="H121" s="3"/>
      <x:c r="I121" s="8" t="str">
        <x:f>IF($D121="","",IFERROR(INDEX('1 Žaliavų gavimas'!$G$4:$G$206,MATCH($D121,'1 Žaliavų gavimas'!$D$4:$D$206,0)),""))</x:f>
      </x:c>
      <x:c r="J121" s="2" t="str">
        <x:f>IF($D121="","",IF(IFERROR(INDEX('1 Žaliavų gavimas'!$B$4:$B$206,MATCH($D121,'1 Žaliavų gavimas'!$D$4:$D$206,0)),"")&lt;&gt;$C121,"PARTIJA NE TOS ŽALIAVOS",IF(AND($I121&lt;&gt;"",$I121&lt;$A121),"PASIBAIGĘS GALIOJIMAS","OK")))</x:f>
      </x:c>
    </x:row>
    <x:row r="122">
      <x:c r="A122" s="4"/>
      <x:c r="B122" s="3"/>
      <x:c r="C122" s="3"/>
      <x:c r="D122" s="3"/>
      <x:c r="E122" s="5"/>
      <x:c r="F122" s="3"/>
      <x:c r="G122" s="3"/>
      <x:c r="H122" s="3"/>
      <x:c r="I122" s="8" t="str">
        <x:f>IF($D122="","",IFERROR(INDEX('1 Žaliavų gavimas'!$G$4:$G$206,MATCH($D122,'1 Žaliavų gavimas'!$D$4:$D$206,0)),""))</x:f>
      </x:c>
      <x:c r="J122" s="2" t="str">
        <x:f>IF($D122="","",IF(IFERROR(INDEX('1 Žaliavų gavimas'!$B$4:$B$206,MATCH($D122,'1 Žaliavų gavimas'!$D$4:$D$206,0)),"")&lt;&gt;$C122,"PARTIJA NE TOS ŽALIAVOS",IF(AND($I122&lt;&gt;"",$I122&lt;$A122),"PASIBAIGĘS GALIOJIMAS","OK")))</x:f>
      </x:c>
    </x:row>
    <x:row r="123">
      <x:c r="A123" s="4"/>
      <x:c r="B123" s="3"/>
      <x:c r="C123" s="3"/>
      <x:c r="D123" s="3"/>
      <x:c r="E123" s="5"/>
      <x:c r="F123" s="3"/>
      <x:c r="G123" s="3"/>
      <x:c r="H123" s="3"/>
      <x:c r="I123" s="8" t="str">
        <x:f>IF($D123="","",IFERROR(INDEX('1 Žaliavų gavimas'!$G$4:$G$206,MATCH($D123,'1 Žaliavų gavimas'!$D$4:$D$206,0)),""))</x:f>
      </x:c>
      <x:c r="J123" s="2" t="str">
        <x:f>IF($D123="","",IF(IFERROR(INDEX('1 Žaliavų gavimas'!$B$4:$B$206,MATCH($D123,'1 Žaliavų gavimas'!$D$4:$D$206,0)),"")&lt;&gt;$C123,"PARTIJA NE TOS ŽALIAVOS",IF(AND($I123&lt;&gt;"",$I123&lt;$A123),"PASIBAIGĘS GALIOJIMAS","OK")))</x:f>
      </x:c>
    </x:row>
    <x:row r="124">
      <x:c r="A124" s="4"/>
      <x:c r="B124" s="3"/>
      <x:c r="C124" s="3"/>
      <x:c r="D124" s="3"/>
      <x:c r="E124" s="5"/>
      <x:c r="F124" s="3"/>
      <x:c r="G124" s="3"/>
      <x:c r="H124" s="3"/>
      <x:c r="I124" s="8" t="str">
        <x:f>IF($D124="","",IFERROR(INDEX('1 Žaliavų gavimas'!$G$4:$G$206,MATCH($D124,'1 Žaliavų gavimas'!$D$4:$D$206,0)),""))</x:f>
      </x:c>
      <x:c r="J124" s="2" t="str">
        <x:f>IF($D124="","",IF(IFERROR(INDEX('1 Žaliavų gavimas'!$B$4:$B$206,MATCH($D124,'1 Žaliavų gavimas'!$D$4:$D$206,0)),"")&lt;&gt;$C124,"PARTIJA NE TOS ŽALIAVOS",IF(AND($I124&lt;&gt;"",$I124&lt;$A124),"PASIBAIGĘS GALIOJIMAS","OK")))</x:f>
      </x:c>
    </x:row>
    <x:row r="125">
      <x:c r="A125" s="4"/>
      <x:c r="B125" s="3"/>
      <x:c r="C125" s="3"/>
      <x:c r="D125" s="3"/>
      <x:c r="E125" s="5"/>
      <x:c r="F125" s="3"/>
      <x:c r="G125" s="3"/>
      <x:c r="H125" s="3"/>
      <x:c r="I125" s="8" t="str">
        <x:f>IF($D125="","",IFERROR(INDEX('1 Žaliavų gavimas'!$G$4:$G$206,MATCH($D125,'1 Žaliavų gavimas'!$D$4:$D$206,0)),""))</x:f>
      </x:c>
      <x:c r="J125" s="2" t="str">
        <x:f>IF($D125="","",IF(IFERROR(INDEX('1 Žaliavų gavimas'!$B$4:$B$206,MATCH($D125,'1 Žaliavų gavimas'!$D$4:$D$206,0)),"")&lt;&gt;$C125,"PARTIJA NE TOS ŽALIAVOS",IF(AND($I125&lt;&gt;"",$I125&lt;$A125),"PASIBAIGĘS GALIOJIMAS","OK")))</x:f>
      </x:c>
    </x:row>
    <x:row r="126">
      <x:c r="A126" s="4"/>
      <x:c r="B126" s="3"/>
      <x:c r="C126" s="3"/>
      <x:c r="D126" s="3"/>
      <x:c r="E126" s="5"/>
      <x:c r="F126" s="3"/>
      <x:c r="G126" s="3"/>
      <x:c r="H126" s="3"/>
      <x:c r="I126" s="8" t="str">
        <x:f>IF($D126="","",IFERROR(INDEX('1 Žaliavų gavimas'!$G$4:$G$206,MATCH($D126,'1 Žaliavų gavimas'!$D$4:$D$206,0)),""))</x:f>
      </x:c>
      <x:c r="J126" s="2" t="str">
        <x:f>IF($D126="","",IF(IFERROR(INDEX('1 Žaliavų gavimas'!$B$4:$B$206,MATCH($D126,'1 Žaliavų gavimas'!$D$4:$D$206,0)),"")&lt;&gt;$C126,"PARTIJA NE TOS ŽALIAVOS",IF(AND($I126&lt;&gt;"",$I126&lt;$A126),"PASIBAIGĘS GALIOJIMAS","OK")))</x:f>
      </x:c>
    </x:row>
    <x:row r="127">
      <x:c r="A127" s="4"/>
      <x:c r="B127" s="3"/>
      <x:c r="C127" s="3"/>
      <x:c r="D127" s="3"/>
      <x:c r="E127" s="5"/>
      <x:c r="F127" s="3"/>
      <x:c r="G127" s="3"/>
      <x:c r="H127" s="3"/>
      <x:c r="I127" s="8" t="str">
        <x:f>IF($D127="","",IFERROR(INDEX('1 Žaliavų gavimas'!$G$4:$G$206,MATCH($D127,'1 Žaliavų gavimas'!$D$4:$D$206,0)),""))</x:f>
      </x:c>
      <x:c r="J127" s="2" t="str">
        <x:f>IF($D127="","",IF(IFERROR(INDEX('1 Žaliavų gavimas'!$B$4:$B$206,MATCH($D127,'1 Žaliavų gavimas'!$D$4:$D$206,0)),"")&lt;&gt;$C127,"PARTIJA NE TOS ŽALIAVOS",IF(AND($I127&lt;&gt;"",$I127&lt;$A127),"PASIBAIGĘS GALIOJIMAS","OK")))</x:f>
      </x:c>
    </x:row>
    <x:row r="128">
      <x:c r="A128" s="4"/>
      <x:c r="B128" s="3"/>
      <x:c r="C128" s="3"/>
      <x:c r="D128" s="3"/>
      <x:c r="E128" s="5"/>
      <x:c r="F128" s="3"/>
      <x:c r="G128" s="3"/>
      <x:c r="H128" s="3"/>
      <x:c r="I128" s="8" t="str">
        <x:f>IF($D128="","",IFERROR(INDEX('1 Žaliavų gavimas'!$G$4:$G$206,MATCH($D128,'1 Žaliavų gavimas'!$D$4:$D$206,0)),""))</x:f>
      </x:c>
      <x:c r="J128" s="2" t="str">
        <x:f>IF($D128="","",IF(IFERROR(INDEX('1 Žaliavų gavimas'!$B$4:$B$206,MATCH($D128,'1 Žaliavų gavimas'!$D$4:$D$206,0)),"")&lt;&gt;$C128,"PARTIJA NE TOS ŽALIAVOS",IF(AND($I128&lt;&gt;"",$I128&lt;$A128),"PASIBAIGĘS GALIOJIMAS","OK")))</x:f>
      </x:c>
    </x:row>
    <x:row r="129">
      <x:c r="A129" s="4"/>
      <x:c r="B129" s="3"/>
      <x:c r="C129" s="3"/>
      <x:c r="D129" s="3"/>
      <x:c r="E129" s="5"/>
      <x:c r="F129" s="3"/>
      <x:c r="G129" s="3"/>
      <x:c r="H129" s="3"/>
      <x:c r="I129" s="8" t="str">
        <x:f>IF($D129="","",IFERROR(INDEX('1 Žaliavų gavimas'!$G$4:$G$206,MATCH($D129,'1 Žaliavų gavimas'!$D$4:$D$206,0)),""))</x:f>
      </x:c>
      <x:c r="J129" s="2" t="str">
        <x:f>IF($D129="","",IF(IFERROR(INDEX('1 Žaliavų gavimas'!$B$4:$B$206,MATCH($D129,'1 Žaliavų gavimas'!$D$4:$D$206,0)),"")&lt;&gt;$C129,"PARTIJA NE TOS ŽALIAVOS",IF(AND($I129&lt;&gt;"",$I129&lt;$A129),"PASIBAIGĘS GALIOJIMAS","OK")))</x:f>
      </x:c>
    </x:row>
    <x:row r="130">
      <x:c r="A130" s="4"/>
      <x:c r="B130" s="3"/>
      <x:c r="C130" s="3"/>
      <x:c r="D130" s="3"/>
      <x:c r="E130" s="5"/>
      <x:c r="F130" s="3"/>
      <x:c r="G130" s="3"/>
      <x:c r="H130" s="3"/>
      <x:c r="I130" s="8" t="str">
        <x:f>IF($D130="","",IFERROR(INDEX('1 Žaliavų gavimas'!$G$4:$G$206,MATCH($D130,'1 Žaliavų gavimas'!$D$4:$D$206,0)),""))</x:f>
      </x:c>
      <x:c r="J130" s="2" t="str">
        <x:f>IF($D130="","",IF(IFERROR(INDEX('1 Žaliavų gavimas'!$B$4:$B$206,MATCH($D130,'1 Žaliavų gavimas'!$D$4:$D$206,0)),"")&lt;&gt;$C130,"PARTIJA NE TOS ŽALIAVOS",IF(AND($I130&lt;&gt;"",$I130&lt;$A130),"PASIBAIGĘS GALIOJIMAS","OK")))</x:f>
      </x:c>
    </x:row>
    <x:row r="131">
      <x:c r="A131" s="4"/>
      <x:c r="B131" s="3"/>
      <x:c r="C131" s="3"/>
      <x:c r="D131" s="3"/>
      <x:c r="E131" s="5"/>
      <x:c r="F131" s="3"/>
      <x:c r="G131" s="3"/>
      <x:c r="H131" s="3"/>
      <x:c r="I131" s="8" t="str">
        <x:f>IF($D131="","",IFERROR(INDEX('1 Žaliavų gavimas'!$G$4:$G$206,MATCH($D131,'1 Žaliavų gavimas'!$D$4:$D$206,0)),""))</x:f>
      </x:c>
      <x:c r="J131" s="2" t="str">
        <x:f>IF($D131="","",IF(IFERROR(INDEX('1 Žaliavų gavimas'!$B$4:$B$206,MATCH($D131,'1 Žaliavų gavimas'!$D$4:$D$206,0)),"")&lt;&gt;$C131,"PARTIJA NE TOS ŽALIAVOS",IF(AND($I131&lt;&gt;"",$I131&lt;$A131),"PASIBAIGĘS GALIOJIMAS","OK")))</x:f>
      </x:c>
    </x:row>
    <x:row r="132">
      <x:c r="A132" s="4"/>
      <x:c r="B132" s="3"/>
      <x:c r="C132" s="3"/>
      <x:c r="D132" s="3"/>
      <x:c r="E132" s="5"/>
      <x:c r="F132" s="3"/>
      <x:c r="G132" s="3"/>
      <x:c r="H132" s="3"/>
      <x:c r="I132" s="8" t="str">
        <x:f>IF($D132="","",IFERROR(INDEX('1 Žaliavų gavimas'!$G$4:$G$206,MATCH($D132,'1 Žaliavų gavimas'!$D$4:$D$206,0)),""))</x:f>
      </x:c>
      <x:c r="J132" s="2" t="str">
        <x:f>IF($D132="","",IF(IFERROR(INDEX('1 Žaliavų gavimas'!$B$4:$B$206,MATCH($D132,'1 Žaliavų gavimas'!$D$4:$D$206,0)),"")&lt;&gt;$C132,"PARTIJA NE TOS ŽALIAVOS",IF(AND($I132&lt;&gt;"",$I132&lt;$A132),"PASIBAIGĘS GALIOJIMAS","OK")))</x:f>
      </x:c>
    </x:row>
    <x:row r="133">
      <x:c r="A133" s="4"/>
      <x:c r="B133" s="3"/>
      <x:c r="C133" s="3"/>
      <x:c r="D133" s="3"/>
      <x:c r="E133" s="5"/>
      <x:c r="F133" s="3"/>
      <x:c r="G133" s="3"/>
      <x:c r="H133" s="3"/>
      <x:c r="I133" s="8" t="str">
        <x:f>IF($D133="","",IFERROR(INDEX('1 Žaliavų gavimas'!$G$4:$G$206,MATCH($D133,'1 Žaliavų gavimas'!$D$4:$D$206,0)),""))</x:f>
      </x:c>
      <x:c r="J133" s="2" t="str">
        <x:f>IF($D133="","",IF(IFERROR(INDEX('1 Žaliavų gavimas'!$B$4:$B$206,MATCH($D133,'1 Žaliavų gavimas'!$D$4:$D$206,0)),"")&lt;&gt;$C133,"PARTIJA NE TOS ŽALIAVOS",IF(AND($I133&lt;&gt;"",$I133&lt;$A133),"PASIBAIGĘS GALIOJIMAS","OK")))</x:f>
      </x:c>
    </x:row>
    <x:row r="134">
      <x:c r="A134" s="4"/>
      <x:c r="B134" s="3"/>
      <x:c r="C134" s="3"/>
      <x:c r="D134" s="3"/>
      <x:c r="E134" s="5"/>
      <x:c r="F134" s="3"/>
      <x:c r="G134" s="3"/>
      <x:c r="H134" s="3"/>
      <x:c r="I134" s="8" t="str">
        <x:f>IF($D134="","",IFERROR(INDEX('1 Žaliavų gavimas'!$G$4:$G$206,MATCH($D134,'1 Žaliavų gavimas'!$D$4:$D$206,0)),""))</x:f>
      </x:c>
      <x:c r="J134" s="2" t="str">
        <x:f>IF($D134="","",IF(IFERROR(INDEX('1 Žaliavų gavimas'!$B$4:$B$206,MATCH($D134,'1 Žaliavų gavimas'!$D$4:$D$206,0)),"")&lt;&gt;$C134,"PARTIJA NE TOS ŽALIAVOS",IF(AND($I134&lt;&gt;"",$I134&lt;$A134),"PASIBAIGĘS GALIOJIMAS","OK")))</x:f>
      </x:c>
    </x:row>
    <x:row r="135">
      <x:c r="A135" s="4"/>
      <x:c r="B135" s="3"/>
      <x:c r="C135" s="3"/>
      <x:c r="D135" s="3"/>
      <x:c r="E135" s="5"/>
      <x:c r="F135" s="3"/>
      <x:c r="G135" s="3"/>
      <x:c r="H135" s="3"/>
      <x:c r="I135" s="8" t="str">
        <x:f>IF($D135="","",IFERROR(INDEX('1 Žaliavų gavimas'!$G$4:$G$206,MATCH($D135,'1 Žaliavų gavimas'!$D$4:$D$206,0)),""))</x:f>
      </x:c>
      <x:c r="J135" s="2" t="str">
        <x:f>IF($D135="","",IF(IFERROR(INDEX('1 Žaliavų gavimas'!$B$4:$B$206,MATCH($D135,'1 Žaliavų gavimas'!$D$4:$D$206,0)),"")&lt;&gt;$C135,"PARTIJA NE TOS ŽALIAVOS",IF(AND($I135&lt;&gt;"",$I135&lt;$A135),"PASIBAIGĘS GALIOJIMAS","OK")))</x:f>
      </x:c>
    </x:row>
    <x:row r="136">
      <x:c r="A136" s="4"/>
      <x:c r="B136" s="3"/>
      <x:c r="C136" s="3"/>
      <x:c r="D136" s="3"/>
      <x:c r="E136" s="5"/>
      <x:c r="F136" s="3"/>
      <x:c r="G136" s="3"/>
      <x:c r="H136" s="3"/>
      <x:c r="I136" s="8" t="str">
        <x:f>IF($D136="","",IFERROR(INDEX('1 Žaliavų gavimas'!$G$4:$G$206,MATCH($D136,'1 Žaliavų gavimas'!$D$4:$D$206,0)),""))</x:f>
      </x:c>
      <x:c r="J136" s="2" t="str">
        <x:f>IF($D136="","",IF(IFERROR(INDEX('1 Žaliavų gavimas'!$B$4:$B$206,MATCH($D136,'1 Žaliavų gavimas'!$D$4:$D$206,0)),"")&lt;&gt;$C136,"PARTIJA NE TOS ŽALIAVOS",IF(AND($I136&lt;&gt;"",$I136&lt;$A136),"PASIBAIGĘS GALIOJIMAS","OK")))</x:f>
      </x:c>
    </x:row>
    <x:row r="137">
      <x:c r="A137" s="4"/>
      <x:c r="B137" s="3"/>
      <x:c r="C137" s="3"/>
      <x:c r="D137" s="3"/>
      <x:c r="E137" s="5"/>
      <x:c r="F137" s="3"/>
      <x:c r="G137" s="3"/>
      <x:c r="H137" s="3"/>
      <x:c r="I137" s="8" t="str">
        <x:f>IF($D137="","",IFERROR(INDEX('1 Žaliavų gavimas'!$G$4:$G$206,MATCH($D137,'1 Žaliavų gavimas'!$D$4:$D$206,0)),""))</x:f>
      </x:c>
      <x:c r="J137" s="2" t="str">
        <x:f>IF($D137="","",IF(IFERROR(INDEX('1 Žaliavų gavimas'!$B$4:$B$206,MATCH($D137,'1 Žaliavų gavimas'!$D$4:$D$206,0)),"")&lt;&gt;$C137,"PARTIJA NE TOS ŽALIAVOS",IF(AND($I137&lt;&gt;"",$I137&lt;$A137),"PASIBAIGĘS GALIOJIMAS","OK")))</x:f>
      </x:c>
    </x:row>
    <x:row r="138">
      <x:c r="A138" s="4"/>
      <x:c r="B138" s="3"/>
      <x:c r="C138" s="3"/>
      <x:c r="D138" s="3"/>
      <x:c r="E138" s="5"/>
      <x:c r="F138" s="3"/>
      <x:c r="G138" s="3"/>
      <x:c r="H138" s="3"/>
      <x:c r="I138" s="8" t="str">
        <x:f>IF($D138="","",IFERROR(INDEX('1 Žaliavų gavimas'!$G$4:$G$206,MATCH($D138,'1 Žaliavų gavimas'!$D$4:$D$206,0)),""))</x:f>
      </x:c>
      <x:c r="J138" s="2" t="str">
        <x:f>IF($D138="","",IF(IFERROR(INDEX('1 Žaliavų gavimas'!$B$4:$B$206,MATCH($D138,'1 Žaliavų gavimas'!$D$4:$D$206,0)),"")&lt;&gt;$C138,"PARTIJA NE TOS ŽALIAVOS",IF(AND($I138&lt;&gt;"",$I138&lt;$A138),"PASIBAIGĘS GALIOJIMAS","OK")))</x:f>
      </x:c>
    </x:row>
    <x:row r="139">
      <x:c r="A139" s="4"/>
      <x:c r="B139" s="3"/>
      <x:c r="C139" s="3"/>
      <x:c r="D139" s="3"/>
      <x:c r="E139" s="5"/>
      <x:c r="F139" s="3"/>
      <x:c r="G139" s="3"/>
      <x:c r="H139" s="3"/>
      <x:c r="I139" s="8" t="str">
        <x:f>IF($D139="","",IFERROR(INDEX('1 Žaliavų gavimas'!$G$4:$G$206,MATCH($D139,'1 Žaliavų gavimas'!$D$4:$D$206,0)),""))</x:f>
      </x:c>
      <x:c r="J139" s="2" t="str">
        <x:f>IF($D139="","",IF(IFERROR(INDEX('1 Žaliavų gavimas'!$B$4:$B$206,MATCH($D139,'1 Žaliavų gavimas'!$D$4:$D$206,0)),"")&lt;&gt;$C139,"PARTIJA NE TOS ŽALIAVOS",IF(AND($I139&lt;&gt;"",$I139&lt;$A139),"PASIBAIGĘS GALIOJIMAS","OK")))</x:f>
      </x:c>
    </x:row>
    <x:row r="140">
      <x:c r="A140" s="4"/>
      <x:c r="B140" s="3"/>
      <x:c r="C140" s="3"/>
      <x:c r="D140" s="3"/>
      <x:c r="E140" s="5"/>
      <x:c r="F140" s="3"/>
      <x:c r="G140" s="3"/>
      <x:c r="H140" s="3"/>
      <x:c r="I140" s="8" t="str">
        <x:f>IF($D140="","",IFERROR(INDEX('1 Žaliavų gavimas'!$G$4:$G$206,MATCH($D140,'1 Žaliavų gavimas'!$D$4:$D$206,0)),""))</x:f>
      </x:c>
      <x:c r="J140" s="2" t="str">
        <x:f>IF($D140="","",IF(IFERROR(INDEX('1 Žaliavų gavimas'!$B$4:$B$206,MATCH($D140,'1 Žaliavų gavimas'!$D$4:$D$206,0)),"")&lt;&gt;$C140,"PARTIJA NE TOS ŽALIAVOS",IF(AND($I140&lt;&gt;"",$I140&lt;$A140),"PASIBAIGĘS GALIOJIMAS","OK")))</x:f>
      </x:c>
    </x:row>
    <x:row r="141">
      <x:c r="A141" s="4"/>
      <x:c r="B141" s="3"/>
      <x:c r="C141" s="3"/>
      <x:c r="D141" s="3"/>
      <x:c r="E141" s="5"/>
      <x:c r="F141" s="3"/>
      <x:c r="G141" s="3"/>
      <x:c r="H141" s="3"/>
      <x:c r="I141" s="8" t="str">
        <x:f>IF($D141="","",IFERROR(INDEX('1 Žaliavų gavimas'!$G$4:$G$206,MATCH($D141,'1 Žaliavų gavimas'!$D$4:$D$206,0)),""))</x:f>
      </x:c>
      <x:c r="J141" s="2" t="str">
        <x:f>IF($D141="","",IF(IFERROR(INDEX('1 Žaliavų gavimas'!$B$4:$B$206,MATCH($D141,'1 Žaliavų gavimas'!$D$4:$D$206,0)),"")&lt;&gt;$C141,"PARTIJA NE TOS ŽALIAVOS",IF(AND($I141&lt;&gt;"",$I141&lt;$A141),"PASIBAIGĘS GALIOJIMAS","OK")))</x:f>
      </x:c>
    </x:row>
    <x:row r="142">
      <x:c r="A142" s="4"/>
      <x:c r="B142" s="3"/>
      <x:c r="C142" s="3"/>
      <x:c r="D142" s="3"/>
      <x:c r="E142" s="5"/>
      <x:c r="F142" s="3"/>
      <x:c r="G142" s="3"/>
      <x:c r="H142" s="3"/>
      <x:c r="I142" s="8" t="str">
        <x:f>IF($D142="","",IFERROR(INDEX('1 Žaliavų gavimas'!$G$4:$G$206,MATCH($D142,'1 Žaliavų gavimas'!$D$4:$D$206,0)),""))</x:f>
      </x:c>
      <x:c r="J142" s="2" t="str">
        <x:f>IF($D142="","",IF(IFERROR(INDEX('1 Žaliavų gavimas'!$B$4:$B$206,MATCH($D142,'1 Žaliavų gavimas'!$D$4:$D$206,0)),"")&lt;&gt;$C142,"PARTIJA NE TOS ŽALIAVOS",IF(AND($I142&lt;&gt;"",$I142&lt;$A142),"PASIBAIGĘS GALIOJIMAS","OK")))</x:f>
      </x:c>
    </x:row>
    <x:row r="143">
      <x:c r="A143" s="4"/>
      <x:c r="B143" s="3"/>
      <x:c r="C143" s="3"/>
      <x:c r="D143" s="3"/>
      <x:c r="E143" s="5"/>
      <x:c r="F143" s="3"/>
      <x:c r="G143" s="3"/>
      <x:c r="H143" s="3"/>
      <x:c r="I143" s="8" t="str">
        <x:f>IF($D143="","",IFERROR(INDEX('1 Žaliavų gavimas'!$G$4:$G$206,MATCH($D143,'1 Žaliavų gavimas'!$D$4:$D$206,0)),""))</x:f>
      </x:c>
      <x:c r="J143" s="2" t="str">
        <x:f>IF($D143="","",IF(IFERROR(INDEX('1 Žaliavų gavimas'!$B$4:$B$206,MATCH($D143,'1 Žaliavų gavimas'!$D$4:$D$206,0)),"")&lt;&gt;$C143,"PARTIJA NE TOS ŽALIAVOS",IF(AND($I143&lt;&gt;"",$I143&lt;$A143),"PASIBAIGĘS GALIOJIMAS","OK")))</x:f>
      </x:c>
    </x:row>
    <x:row r="144">
      <x:c r="A144" s="4"/>
      <x:c r="B144" s="3"/>
      <x:c r="C144" s="3"/>
      <x:c r="D144" s="3"/>
      <x:c r="E144" s="5"/>
      <x:c r="F144" s="3"/>
      <x:c r="G144" s="3"/>
      <x:c r="H144" s="3"/>
      <x:c r="I144" s="8" t="str">
        <x:f>IF($D144="","",IFERROR(INDEX('1 Žaliavų gavimas'!$G$4:$G$206,MATCH($D144,'1 Žaliavų gavimas'!$D$4:$D$206,0)),""))</x:f>
      </x:c>
      <x:c r="J144" s="2" t="str">
        <x:f>IF($D144="","",IF(IFERROR(INDEX('1 Žaliavų gavimas'!$B$4:$B$206,MATCH($D144,'1 Žaliavų gavimas'!$D$4:$D$206,0)),"")&lt;&gt;$C144,"PARTIJA NE TOS ŽALIAVOS",IF(AND($I144&lt;&gt;"",$I144&lt;$A144),"PASIBAIGĘS GALIOJIMAS","OK")))</x:f>
      </x:c>
    </x:row>
    <x:row r="145">
      <x:c r="A145" s="4"/>
      <x:c r="B145" s="3"/>
      <x:c r="C145" s="3"/>
      <x:c r="D145" s="3"/>
      <x:c r="E145" s="5"/>
      <x:c r="F145" s="3"/>
      <x:c r="G145" s="3"/>
      <x:c r="H145" s="3"/>
      <x:c r="I145" s="8" t="str">
        <x:f>IF($D145="","",IFERROR(INDEX('1 Žaliavų gavimas'!$G$4:$G$206,MATCH($D145,'1 Žaliavų gavimas'!$D$4:$D$206,0)),""))</x:f>
      </x:c>
      <x:c r="J145" s="2" t="str">
        <x:f>IF($D145="","",IF(IFERROR(INDEX('1 Žaliavų gavimas'!$B$4:$B$206,MATCH($D145,'1 Žaliavų gavimas'!$D$4:$D$206,0)),"")&lt;&gt;$C145,"PARTIJA NE TOS ŽALIAVOS",IF(AND($I145&lt;&gt;"",$I145&lt;$A145),"PASIBAIGĘS GALIOJIMAS","OK")))</x:f>
      </x:c>
    </x:row>
    <x:row r="146">
      <x:c r="A146" s="4"/>
      <x:c r="B146" s="3"/>
      <x:c r="C146" s="3"/>
      <x:c r="D146" s="3"/>
      <x:c r="E146" s="5"/>
      <x:c r="F146" s="3"/>
      <x:c r="G146" s="3"/>
      <x:c r="H146" s="3"/>
      <x:c r="I146" s="8" t="str">
        <x:f>IF($D146="","",IFERROR(INDEX('1 Žaliavų gavimas'!$G$4:$G$206,MATCH($D146,'1 Žaliavų gavimas'!$D$4:$D$206,0)),""))</x:f>
      </x:c>
      <x:c r="J146" s="2" t="str">
        <x:f>IF($D146="","",IF(IFERROR(INDEX('1 Žaliavų gavimas'!$B$4:$B$206,MATCH($D146,'1 Žaliavų gavimas'!$D$4:$D$206,0)),"")&lt;&gt;$C146,"PARTIJA NE TOS ŽALIAVOS",IF(AND($I146&lt;&gt;"",$I146&lt;$A146),"PASIBAIGĘS GALIOJIMAS","OK")))</x:f>
      </x:c>
    </x:row>
    <x:row r="147">
      <x:c r="A147" s="4"/>
      <x:c r="B147" s="3"/>
      <x:c r="C147" s="3"/>
      <x:c r="D147" s="3"/>
      <x:c r="E147" s="5"/>
      <x:c r="F147" s="3"/>
      <x:c r="G147" s="3"/>
      <x:c r="H147" s="3"/>
      <x:c r="I147" s="8" t="str">
        <x:f>IF($D147="","",IFERROR(INDEX('1 Žaliavų gavimas'!$G$4:$G$206,MATCH($D147,'1 Žaliavų gavimas'!$D$4:$D$206,0)),""))</x:f>
      </x:c>
      <x:c r="J147" s="2" t="str">
        <x:f>IF($D147="","",IF(IFERROR(INDEX('1 Žaliavų gavimas'!$B$4:$B$206,MATCH($D147,'1 Žaliavų gavimas'!$D$4:$D$206,0)),"")&lt;&gt;$C147,"PARTIJA NE TOS ŽALIAVOS",IF(AND($I147&lt;&gt;"",$I147&lt;$A147),"PASIBAIGĘS GALIOJIMAS","OK")))</x:f>
      </x:c>
    </x:row>
    <x:row r="148">
      <x:c r="A148" s="4"/>
      <x:c r="B148" s="3"/>
      <x:c r="C148" s="3"/>
      <x:c r="D148" s="3"/>
      <x:c r="E148" s="5"/>
      <x:c r="F148" s="3"/>
      <x:c r="G148" s="3"/>
      <x:c r="H148" s="3"/>
      <x:c r="I148" s="8" t="str">
        <x:f>IF($D148="","",IFERROR(INDEX('1 Žaliavų gavimas'!$G$4:$G$206,MATCH($D148,'1 Žaliavų gavimas'!$D$4:$D$206,0)),""))</x:f>
      </x:c>
      <x:c r="J148" s="2" t="str">
        <x:f>IF($D148="","",IF(IFERROR(INDEX('1 Žaliavų gavimas'!$B$4:$B$206,MATCH($D148,'1 Žaliavų gavimas'!$D$4:$D$206,0)),"")&lt;&gt;$C148,"PARTIJA NE TOS ŽALIAVOS",IF(AND($I148&lt;&gt;"",$I148&lt;$A148),"PASIBAIGĘS GALIOJIMAS","OK")))</x:f>
      </x:c>
    </x:row>
    <x:row r="149">
      <x:c r="A149" s="4"/>
      <x:c r="B149" s="3"/>
      <x:c r="C149" s="3"/>
      <x:c r="D149" s="3"/>
      <x:c r="E149" s="5"/>
      <x:c r="F149" s="3"/>
      <x:c r="G149" s="3"/>
      <x:c r="H149" s="3"/>
      <x:c r="I149" s="8" t="str">
        <x:f>IF($D149="","",IFERROR(INDEX('1 Žaliavų gavimas'!$G$4:$G$206,MATCH($D149,'1 Žaliavų gavimas'!$D$4:$D$206,0)),""))</x:f>
      </x:c>
      <x:c r="J149" s="2" t="str">
        <x:f>IF($D149="","",IF(IFERROR(INDEX('1 Žaliavų gavimas'!$B$4:$B$206,MATCH($D149,'1 Žaliavų gavimas'!$D$4:$D$206,0)),"")&lt;&gt;$C149,"PARTIJA NE TOS ŽALIAVOS",IF(AND($I149&lt;&gt;"",$I149&lt;$A149),"PASIBAIGĘS GALIOJIMAS","OK")))</x:f>
      </x:c>
    </x:row>
    <x:row r="150">
      <x:c r="A150" s="4"/>
      <x:c r="B150" s="3"/>
      <x:c r="C150" s="3"/>
      <x:c r="D150" s="3"/>
      <x:c r="E150" s="5"/>
      <x:c r="F150" s="3"/>
      <x:c r="G150" s="3"/>
      <x:c r="H150" s="3"/>
      <x:c r="I150" s="8" t="str">
        <x:f>IF($D150="","",IFERROR(INDEX('1 Žaliavų gavimas'!$G$4:$G$206,MATCH($D150,'1 Žaliavų gavimas'!$D$4:$D$206,0)),""))</x:f>
      </x:c>
      <x:c r="J150" s="2" t="str">
        <x:f>IF($D150="","",IF(IFERROR(INDEX('1 Žaliavų gavimas'!$B$4:$B$206,MATCH($D150,'1 Žaliavų gavimas'!$D$4:$D$206,0)),"")&lt;&gt;$C150,"PARTIJA NE TOS ŽALIAVOS",IF(AND($I150&lt;&gt;"",$I150&lt;$A150),"PASIBAIGĘS GALIOJIMAS","OK")))</x:f>
      </x:c>
    </x:row>
    <x:row r="151">
      <x:c r="A151" s="4"/>
      <x:c r="B151" s="3"/>
      <x:c r="C151" s="3"/>
      <x:c r="D151" s="3"/>
      <x:c r="E151" s="5"/>
      <x:c r="F151" s="3"/>
      <x:c r="G151" s="3"/>
      <x:c r="H151" s="3"/>
      <x:c r="I151" s="8" t="str">
        <x:f>IF($D151="","",IFERROR(INDEX('1 Žaliavų gavimas'!$G$4:$G$206,MATCH($D151,'1 Žaliavų gavimas'!$D$4:$D$206,0)),""))</x:f>
      </x:c>
      <x:c r="J151" s="2" t="str">
        <x:f>IF($D151="","",IF(IFERROR(INDEX('1 Žaliavų gavimas'!$B$4:$B$206,MATCH($D151,'1 Žaliavų gavimas'!$D$4:$D$206,0)),"")&lt;&gt;$C151,"PARTIJA NE TOS ŽALIAVOS",IF(AND($I151&lt;&gt;"",$I151&lt;$A151),"PASIBAIGĘS GALIOJIMAS","OK")))</x:f>
      </x:c>
    </x:row>
    <x:row r="152">
      <x:c r="A152" s="4"/>
      <x:c r="B152" s="3"/>
      <x:c r="C152" s="3"/>
      <x:c r="D152" s="3"/>
      <x:c r="E152" s="5"/>
      <x:c r="F152" s="3"/>
      <x:c r="G152" s="3"/>
      <x:c r="H152" s="3"/>
      <x:c r="I152" s="8" t="str">
        <x:f>IF($D152="","",IFERROR(INDEX('1 Žaliavų gavimas'!$G$4:$G$206,MATCH($D152,'1 Žaliavų gavimas'!$D$4:$D$206,0)),""))</x:f>
      </x:c>
      <x:c r="J152" s="2" t="str">
        <x:f>IF($D152="","",IF(IFERROR(INDEX('1 Žaliavų gavimas'!$B$4:$B$206,MATCH($D152,'1 Žaliavų gavimas'!$D$4:$D$206,0)),"")&lt;&gt;$C152,"PARTIJA NE TOS ŽALIAVOS",IF(AND($I152&lt;&gt;"",$I152&lt;$A152),"PASIBAIGĘS GALIOJIMAS","OK")))</x:f>
      </x:c>
    </x:row>
    <x:row r="153">
      <x:c r="A153" s="4"/>
      <x:c r="B153" s="3"/>
      <x:c r="C153" s="3"/>
      <x:c r="D153" s="3"/>
      <x:c r="E153" s="5"/>
      <x:c r="F153" s="3"/>
      <x:c r="G153" s="3"/>
      <x:c r="H153" s="3"/>
      <x:c r="I153" s="8" t="str">
        <x:f>IF($D153="","",IFERROR(INDEX('1 Žaliavų gavimas'!$G$4:$G$206,MATCH($D153,'1 Žaliavų gavimas'!$D$4:$D$206,0)),""))</x:f>
      </x:c>
      <x:c r="J153" s="2" t="str">
        <x:f>IF($D153="","",IF(IFERROR(INDEX('1 Žaliavų gavimas'!$B$4:$B$206,MATCH($D153,'1 Žaliavų gavimas'!$D$4:$D$206,0)),"")&lt;&gt;$C153,"PARTIJA NE TOS ŽALIAVOS",IF(AND($I153&lt;&gt;"",$I153&lt;$A153),"PASIBAIGĘS GALIOJIMAS","OK")))</x:f>
      </x:c>
    </x:row>
    <x:row r="154">
      <x:c r="A154" s="4"/>
      <x:c r="B154" s="3"/>
      <x:c r="C154" s="3"/>
      <x:c r="D154" s="3"/>
      <x:c r="E154" s="5"/>
      <x:c r="F154" s="3"/>
      <x:c r="G154" s="3"/>
      <x:c r="H154" s="3"/>
      <x:c r="I154" s="8" t="str">
        <x:f>IF($D154="","",IFERROR(INDEX('1 Žaliavų gavimas'!$G$4:$G$206,MATCH($D154,'1 Žaliavų gavimas'!$D$4:$D$206,0)),""))</x:f>
      </x:c>
      <x:c r="J154" s="2" t="str">
        <x:f>IF($D154="","",IF(IFERROR(INDEX('1 Žaliavų gavimas'!$B$4:$B$206,MATCH($D154,'1 Žaliavų gavimas'!$D$4:$D$206,0)),"")&lt;&gt;$C154,"PARTIJA NE TOS ŽALIAVOS",IF(AND($I154&lt;&gt;"",$I154&lt;$A154),"PASIBAIGĘS GALIOJIMAS","OK")))</x:f>
      </x:c>
    </x:row>
    <x:row r="155">
      <x:c r="A155" s="4"/>
      <x:c r="B155" s="3"/>
      <x:c r="C155" s="3"/>
      <x:c r="D155" s="3"/>
      <x:c r="E155" s="5"/>
      <x:c r="F155" s="3"/>
      <x:c r="G155" s="3"/>
      <x:c r="H155" s="3"/>
      <x:c r="I155" s="8" t="str">
        <x:f>IF($D155="","",IFERROR(INDEX('1 Žaliavų gavimas'!$G$4:$G$206,MATCH($D155,'1 Žaliavų gavimas'!$D$4:$D$206,0)),""))</x:f>
      </x:c>
      <x:c r="J155" s="2" t="str">
        <x:f>IF($D155="","",IF(IFERROR(INDEX('1 Žaliavų gavimas'!$B$4:$B$206,MATCH($D155,'1 Žaliavų gavimas'!$D$4:$D$206,0)),"")&lt;&gt;$C155,"PARTIJA NE TOS ŽALIAVOS",IF(AND($I155&lt;&gt;"",$I155&lt;$A155),"PASIBAIGĘS GALIOJIMAS","OK")))</x:f>
      </x:c>
    </x:row>
    <x:row r="156">
      <x:c r="A156" s="4"/>
      <x:c r="B156" s="3"/>
      <x:c r="C156" s="3"/>
      <x:c r="D156" s="3"/>
      <x:c r="E156" s="5"/>
      <x:c r="F156" s="3"/>
      <x:c r="G156" s="3"/>
      <x:c r="H156" s="3"/>
      <x:c r="I156" s="8" t="str">
        <x:f>IF($D156="","",IFERROR(INDEX('1 Žaliavų gavimas'!$G$4:$G$206,MATCH($D156,'1 Žaliavų gavimas'!$D$4:$D$206,0)),""))</x:f>
      </x:c>
      <x:c r="J156" s="2" t="str">
        <x:f>IF($D156="","",IF(IFERROR(INDEX('1 Žaliavų gavimas'!$B$4:$B$206,MATCH($D156,'1 Žaliavų gavimas'!$D$4:$D$206,0)),"")&lt;&gt;$C156,"PARTIJA NE TOS ŽALIAVOS",IF(AND($I156&lt;&gt;"",$I156&lt;$A156),"PASIBAIGĘS GALIOJIMAS","OK")))</x:f>
      </x:c>
    </x:row>
    <x:row r="157">
      <x:c r="A157" s="4"/>
      <x:c r="B157" s="3"/>
      <x:c r="C157" s="3"/>
      <x:c r="D157" s="3"/>
      <x:c r="E157" s="5"/>
      <x:c r="F157" s="3"/>
      <x:c r="G157" s="3"/>
      <x:c r="H157" s="3"/>
      <x:c r="I157" s="8" t="str">
        <x:f>IF($D157="","",IFERROR(INDEX('1 Žaliavų gavimas'!$G$4:$G$206,MATCH($D157,'1 Žaliavų gavimas'!$D$4:$D$206,0)),""))</x:f>
      </x:c>
      <x:c r="J157" s="2" t="str">
        <x:f>IF($D157="","",IF(IFERROR(INDEX('1 Žaliavų gavimas'!$B$4:$B$206,MATCH($D157,'1 Žaliavų gavimas'!$D$4:$D$206,0)),"")&lt;&gt;$C157,"PARTIJA NE TOS ŽALIAVOS",IF(AND($I157&lt;&gt;"",$I157&lt;$A157),"PASIBAIGĘS GALIOJIMAS","OK")))</x:f>
      </x:c>
    </x:row>
    <x:row r="158">
      <x:c r="A158" s="4"/>
      <x:c r="B158" s="3"/>
      <x:c r="C158" s="3"/>
      <x:c r="D158" s="3"/>
      <x:c r="E158" s="5"/>
      <x:c r="F158" s="3"/>
      <x:c r="G158" s="3"/>
      <x:c r="H158" s="3"/>
      <x:c r="I158" s="8" t="str">
        <x:f>IF($D158="","",IFERROR(INDEX('1 Žaliavų gavimas'!$G$4:$G$206,MATCH($D158,'1 Žaliavų gavimas'!$D$4:$D$206,0)),""))</x:f>
      </x:c>
      <x:c r="J158" s="2" t="str">
        <x:f>IF($D158="","",IF(IFERROR(INDEX('1 Žaliavų gavimas'!$B$4:$B$206,MATCH($D158,'1 Žaliavų gavimas'!$D$4:$D$206,0)),"")&lt;&gt;$C158,"PARTIJA NE TOS ŽALIAVOS",IF(AND($I158&lt;&gt;"",$I158&lt;$A158),"PASIBAIGĘS GALIOJIMAS","OK")))</x:f>
      </x:c>
    </x:row>
    <x:row r="159">
      <x:c r="A159" s="4"/>
      <x:c r="B159" s="3"/>
      <x:c r="C159" s="3"/>
      <x:c r="D159" s="3"/>
      <x:c r="E159" s="5"/>
      <x:c r="F159" s="3"/>
      <x:c r="G159" s="3"/>
      <x:c r="H159" s="3"/>
      <x:c r="I159" s="8" t="str">
        <x:f>IF($D159="","",IFERROR(INDEX('1 Žaliavų gavimas'!$G$4:$G$206,MATCH($D159,'1 Žaliavų gavimas'!$D$4:$D$206,0)),""))</x:f>
      </x:c>
      <x:c r="J159" s="2" t="str">
        <x:f>IF($D159="","",IF(IFERROR(INDEX('1 Žaliavų gavimas'!$B$4:$B$206,MATCH($D159,'1 Žaliavų gavimas'!$D$4:$D$206,0)),"")&lt;&gt;$C159,"PARTIJA NE TOS ŽALIAVOS",IF(AND($I159&lt;&gt;"",$I159&lt;$A159),"PASIBAIGĘS GALIOJIMAS","OK")))</x:f>
      </x:c>
    </x:row>
    <x:row r="160">
      <x:c r="A160" s="4"/>
      <x:c r="B160" s="3"/>
      <x:c r="C160" s="3"/>
      <x:c r="D160" s="3"/>
      <x:c r="E160" s="5"/>
      <x:c r="F160" s="3"/>
      <x:c r="G160" s="3"/>
      <x:c r="H160" s="3"/>
      <x:c r="I160" s="8" t="str">
        <x:f>IF($D160="","",IFERROR(INDEX('1 Žaliavų gavimas'!$G$4:$G$206,MATCH($D160,'1 Žaliavų gavimas'!$D$4:$D$206,0)),""))</x:f>
      </x:c>
      <x:c r="J160" s="2" t="str">
        <x:f>IF($D160="","",IF(IFERROR(INDEX('1 Žaliavų gavimas'!$B$4:$B$206,MATCH($D160,'1 Žaliavų gavimas'!$D$4:$D$206,0)),"")&lt;&gt;$C160,"PARTIJA NE TOS ŽALIAVOS",IF(AND($I160&lt;&gt;"",$I160&lt;$A160),"PASIBAIGĘS GALIOJIMAS","OK")))</x:f>
      </x:c>
    </x:row>
    <x:row r="161">
      <x:c r="A161" s="4"/>
      <x:c r="B161" s="3"/>
      <x:c r="C161" s="3"/>
      <x:c r="D161" s="3"/>
      <x:c r="E161" s="5"/>
      <x:c r="F161" s="3"/>
      <x:c r="G161" s="3"/>
      <x:c r="H161" s="3"/>
      <x:c r="I161" s="8" t="str">
        <x:f>IF($D161="","",IFERROR(INDEX('1 Žaliavų gavimas'!$G$4:$G$206,MATCH($D161,'1 Žaliavų gavimas'!$D$4:$D$206,0)),""))</x:f>
      </x:c>
      <x:c r="J161" s="2" t="str">
        <x:f>IF($D161="","",IF(IFERROR(INDEX('1 Žaliavų gavimas'!$B$4:$B$206,MATCH($D161,'1 Žaliavų gavimas'!$D$4:$D$206,0)),"")&lt;&gt;$C161,"PARTIJA NE TOS ŽALIAVOS",IF(AND($I161&lt;&gt;"",$I161&lt;$A161),"PASIBAIGĘS GALIOJIMAS","OK")))</x:f>
      </x:c>
    </x:row>
    <x:row r="162">
      <x:c r="A162" s="4"/>
      <x:c r="B162" s="3"/>
      <x:c r="C162" s="3"/>
      <x:c r="D162" s="3"/>
      <x:c r="E162" s="5"/>
      <x:c r="F162" s="3"/>
      <x:c r="G162" s="3"/>
      <x:c r="H162" s="3"/>
      <x:c r="I162" s="8" t="str">
        <x:f>IF($D162="","",IFERROR(INDEX('1 Žaliavų gavimas'!$G$4:$G$206,MATCH($D162,'1 Žaliavų gavimas'!$D$4:$D$206,0)),""))</x:f>
      </x:c>
      <x:c r="J162" s="2" t="str">
        <x:f>IF($D162="","",IF(IFERROR(INDEX('1 Žaliavų gavimas'!$B$4:$B$206,MATCH($D162,'1 Žaliavų gavimas'!$D$4:$D$206,0)),"")&lt;&gt;$C162,"PARTIJA NE TOS ŽALIAVOS",IF(AND($I162&lt;&gt;"",$I162&lt;$A162),"PASIBAIGĘS GALIOJIMAS","OK")))</x:f>
      </x:c>
    </x:row>
    <x:row r="163">
      <x:c r="A163" s="4"/>
      <x:c r="B163" s="3"/>
      <x:c r="C163" s="3"/>
      <x:c r="D163" s="3"/>
      <x:c r="E163" s="5"/>
      <x:c r="F163" s="3"/>
      <x:c r="G163" s="3"/>
      <x:c r="H163" s="3"/>
      <x:c r="I163" s="8" t="str">
        <x:f>IF($D163="","",IFERROR(INDEX('1 Žaliavų gavimas'!$G$4:$G$206,MATCH($D163,'1 Žaliavų gavimas'!$D$4:$D$206,0)),""))</x:f>
      </x:c>
      <x:c r="J163" s="2" t="str">
        <x:f>IF($D163="","",IF(IFERROR(INDEX('1 Žaliavų gavimas'!$B$4:$B$206,MATCH($D163,'1 Žaliavų gavimas'!$D$4:$D$206,0)),"")&lt;&gt;$C163,"PARTIJA NE TOS ŽALIAVOS",IF(AND($I163&lt;&gt;"",$I163&lt;$A163),"PASIBAIGĘS GALIOJIMAS","OK")))</x:f>
      </x:c>
    </x:row>
    <x:row r="164">
      <x:c r="A164" s="4"/>
      <x:c r="B164" s="3"/>
      <x:c r="C164" s="3"/>
      <x:c r="D164" s="3"/>
      <x:c r="E164" s="5"/>
      <x:c r="F164" s="3"/>
      <x:c r="G164" s="3"/>
      <x:c r="H164" s="3"/>
      <x:c r="I164" s="8" t="str">
        <x:f>IF($D164="","",IFERROR(INDEX('1 Žaliavų gavimas'!$G$4:$G$206,MATCH($D164,'1 Žaliavų gavimas'!$D$4:$D$206,0)),""))</x:f>
      </x:c>
      <x:c r="J164" s="2" t="str">
        <x:f>IF($D164="","",IF(IFERROR(INDEX('1 Žaliavų gavimas'!$B$4:$B$206,MATCH($D164,'1 Žaliavų gavimas'!$D$4:$D$206,0)),"")&lt;&gt;$C164,"PARTIJA NE TOS ŽALIAVOS",IF(AND($I164&lt;&gt;"",$I164&lt;$A164),"PASIBAIGĘS GALIOJIMAS","OK")))</x:f>
      </x:c>
    </x:row>
    <x:row r="165">
      <x:c r="A165" s="4"/>
      <x:c r="B165" s="3"/>
      <x:c r="C165" s="3"/>
      <x:c r="D165" s="3"/>
      <x:c r="E165" s="5"/>
      <x:c r="F165" s="3"/>
      <x:c r="G165" s="3"/>
      <x:c r="H165" s="3"/>
      <x:c r="I165" s="8" t="str">
        <x:f>IF($D165="","",IFERROR(INDEX('1 Žaliavų gavimas'!$G$4:$G$206,MATCH($D165,'1 Žaliavų gavimas'!$D$4:$D$206,0)),""))</x:f>
      </x:c>
      <x:c r="J165" s="2" t="str">
        <x:f>IF($D165="","",IF(IFERROR(INDEX('1 Žaliavų gavimas'!$B$4:$B$206,MATCH($D165,'1 Žaliavų gavimas'!$D$4:$D$206,0)),"")&lt;&gt;$C165,"PARTIJA NE TOS ŽALIAVOS",IF(AND($I165&lt;&gt;"",$I165&lt;$A165),"PASIBAIGĘS GALIOJIMAS","OK")))</x:f>
      </x:c>
    </x:row>
    <x:row r="166">
      <x:c r="A166" s="4"/>
      <x:c r="B166" s="3"/>
      <x:c r="C166" s="3"/>
      <x:c r="D166" s="3"/>
      <x:c r="E166" s="5"/>
      <x:c r="F166" s="3"/>
      <x:c r="G166" s="3"/>
      <x:c r="H166" s="3"/>
      <x:c r="I166" s="8" t="str">
        <x:f>IF($D166="","",IFERROR(INDEX('1 Žaliavų gavimas'!$G$4:$G$206,MATCH($D166,'1 Žaliavų gavimas'!$D$4:$D$206,0)),""))</x:f>
      </x:c>
      <x:c r="J166" s="2" t="str">
        <x:f>IF($D166="","",IF(IFERROR(INDEX('1 Žaliavų gavimas'!$B$4:$B$206,MATCH($D166,'1 Žaliavų gavimas'!$D$4:$D$206,0)),"")&lt;&gt;$C166,"PARTIJA NE TOS ŽALIAVOS",IF(AND($I166&lt;&gt;"",$I166&lt;$A166),"PASIBAIGĘS GALIOJIMAS","OK")))</x:f>
      </x:c>
    </x:row>
    <x:row r="167">
      <x:c r="A167" s="4"/>
      <x:c r="B167" s="3"/>
      <x:c r="C167" s="3"/>
      <x:c r="D167" s="3"/>
      <x:c r="E167" s="5"/>
      <x:c r="F167" s="3"/>
      <x:c r="G167" s="3"/>
      <x:c r="H167" s="3"/>
      <x:c r="I167" s="8" t="str">
        <x:f>IF($D167="","",IFERROR(INDEX('1 Žaliavų gavimas'!$G$4:$G$206,MATCH($D167,'1 Žaliavų gavimas'!$D$4:$D$206,0)),""))</x:f>
      </x:c>
      <x:c r="J167" s="2" t="str">
        <x:f>IF($D167="","",IF(IFERROR(INDEX('1 Žaliavų gavimas'!$B$4:$B$206,MATCH($D167,'1 Žaliavų gavimas'!$D$4:$D$206,0)),"")&lt;&gt;$C167,"PARTIJA NE TOS ŽALIAVOS",IF(AND($I167&lt;&gt;"",$I167&lt;$A167),"PASIBAIGĘS GALIOJIMAS","OK")))</x:f>
      </x:c>
    </x:row>
    <x:row r="168">
      <x:c r="A168" s="4"/>
      <x:c r="B168" s="3"/>
      <x:c r="C168" s="3"/>
      <x:c r="D168" s="3"/>
      <x:c r="E168" s="5"/>
      <x:c r="F168" s="3"/>
      <x:c r="G168" s="3"/>
      <x:c r="H168" s="3"/>
      <x:c r="I168" s="8" t="str">
        <x:f>IF($D168="","",IFERROR(INDEX('1 Žaliavų gavimas'!$G$4:$G$206,MATCH($D168,'1 Žaliavų gavimas'!$D$4:$D$206,0)),""))</x:f>
      </x:c>
      <x:c r="J168" s="2" t="str">
        <x:f>IF($D168="","",IF(IFERROR(INDEX('1 Žaliavų gavimas'!$B$4:$B$206,MATCH($D168,'1 Žaliavų gavimas'!$D$4:$D$206,0)),"")&lt;&gt;$C168,"PARTIJA NE TOS ŽALIAVOS",IF(AND($I168&lt;&gt;"",$I168&lt;$A168),"PASIBAIGĘS GALIOJIMAS","OK")))</x:f>
      </x:c>
    </x:row>
    <x:row r="169">
      <x:c r="A169" s="4"/>
      <x:c r="B169" s="3"/>
      <x:c r="C169" s="3"/>
      <x:c r="D169" s="3"/>
      <x:c r="E169" s="5"/>
      <x:c r="F169" s="3"/>
      <x:c r="G169" s="3"/>
      <x:c r="H169" s="3"/>
      <x:c r="I169" s="8" t="str">
        <x:f>IF($D169="","",IFERROR(INDEX('1 Žaliavų gavimas'!$G$4:$G$206,MATCH($D169,'1 Žaliavų gavimas'!$D$4:$D$206,0)),""))</x:f>
      </x:c>
      <x:c r="J169" s="2" t="str">
        <x:f>IF($D169="","",IF(IFERROR(INDEX('1 Žaliavų gavimas'!$B$4:$B$206,MATCH($D169,'1 Žaliavų gavimas'!$D$4:$D$206,0)),"")&lt;&gt;$C169,"PARTIJA NE TOS ŽALIAVOS",IF(AND($I169&lt;&gt;"",$I169&lt;$A169),"PASIBAIGĘS GALIOJIMAS","OK")))</x:f>
      </x:c>
    </x:row>
    <x:row r="170">
      <x:c r="A170" s="4"/>
      <x:c r="B170" s="3"/>
      <x:c r="C170" s="3"/>
      <x:c r="D170" s="3"/>
      <x:c r="E170" s="5"/>
      <x:c r="F170" s="3"/>
      <x:c r="G170" s="3"/>
      <x:c r="H170" s="3"/>
      <x:c r="I170" s="8" t="str">
        <x:f>IF($D170="","",IFERROR(INDEX('1 Žaliavų gavimas'!$G$4:$G$206,MATCH($D170,'1 Žaliavų gavimas'!$D$4:$D$206,0)),""))</x:f>
      </x:c>
      <x:c r="J170" s="2" t="str">
        <x:f>IF($D170="","",IF(IFERROR(INDEX('1 Žaliavų gavimas'!$B$4:$B$206,MATCH($D170,'1 Žaliavų gavimas'!$D$4:$D$206,0)),"")&lt;&gt;$C170,"PARTIJA NE TOS ŽALIAVOS",IF(AND($I170&lt;&gt;"",$I170&lt;$A170),"PASIBAIGĘS GALIOJIMAS","OK")))</x:f>
      </x:c>
    </x:row>
    <x:row r="171">
      <x:c r="A171" s="4"/>
      <x:c r="B171" s="3"/>
      <x:c r="C171" s="3"/>
      <x:c r="D171" s="3"/>
      <x:c r="E171" s="5"/>
      <x:c r="F171" s="3"/>
      <x:c r="G171" s="3"/>
      <x:c r="H171" s="3"/>
      <x:c r="I171" s="8" t="str">
        <x:f>IF($D171="","",IFERROR(INDEX('1 Žaliavų gavimas'!$G$4:$G$206,MATCH($D171,'1 Žaliavų gavimas'!$D$4:$D$206,0)),""))</x:f>
      </x:c>
      <x:c r="J171" s="2" t="str">
        <x:f>IF($D171="","",IF(IFERROR(INDEX('1 Žaliavų gavimas'!$B$4:$B$206,MATCH($D171,'1 Žaliavų gavimas'!$D$4:$D$206,0)),"")&lt;&gt;$C171,"PARTIJA NE TOS ŽALIAVOS",IF(AND($I171&lt;&gt;"",$I171&lt;$A171),"PASIBAIGĘS GALIOJIMAS","OK")))</x:f>
      </x:c>
    </x:row>
    <x:row r="172">
      <x:c r="A172" s="4"/>
      <x:c r="B172" s="3"/>
      <x:c r="C172" s="3"/>
      <x:c r="D172" s="3"/>
      <x:c r="E172" s="5"/>
      <x:c r="F172" s="3"/>
      <x:c r="G172" s="3"/>
      <x:c r="H172" s="3"/>
      <x:c r="I172" s="8" t="str">
        <x:f>IF($D172="","",IFERROR(INDEX('1 Žaliavų gavimas'!$G$4:$G$206,MATCH($D172,'1 Žaliavų gavimas'!$D$4:$D$206,0)),""))</x:f>
      </x:c>
      <x:c r="J172" s="2" t="str">
        <x:f>IF($D172="","",IF(IFERROR(INDEX('1 Žaliavų gavimas'!$B$4:$B$206,MATCH($D172,'1 Žaliavų gavimas'!$D$4:$D$206,0)),"")&lt;&gt;$C172,"PARTIJA NE TOS ŽALIAVOS",IF(AND($I172&lt;&gt;"",$I172&lt;$A172),"PASIBAIGĘS GALIOJIMAS","OK")))</x:f>
      </x:c>
    </x:row>
    <x:row r="173">
      <x:c r="A173" s="4"/>
      <x:c r="B173" s="3"/>
      <x:c r="C173" s="3"/>
      <x:c r="D173" s="3"/>
      <x:c r="E173" s="5"/>
      <x:c r="F173" s="3"/>
      <x:c r="G173" s="3"/>
      <x:c r="H173" s="3"/>
      <x:c r="I173" s="8" t="str">
        <x:f>IF($D173="","",IFERROR(INDEX('1 Žaliavų gavimas'!$G$4:$G$206,MATCH($D173,'1 Žaliavų gavimas'!$D$4:$D$206,0)),""))</x:f>
      </x:c>
      <x:c r="J173" s="2" t="str">
        <x:f>IF($D173="","",IF(IFERROR(INDEX('1 Žaliavų gavimas'!$B$4:$B$206,MATCH($D173,'1 Žaliavų gavimas'!$D$4:$D$206,0)),"")&lt;&gt;$C173,"PARTIJA NE TOS ŽALIAVOS",IF(AND($I173&lt;&gt;"",$I173&lt;$A173),"PASIBAIGĘS GALIOJIMAS","OK")))</x:f>
      </x:c>
    </x:row>
    <x:row r="174">
      <x:c r="A174" s="4"/>
      <x:c r="B174" s="3"/>
      <x:c r="C174" s="3"/>
      <x:c r="D174" s="3"/>
      <x:c r="E174" s="5"/>
      <x:c r="F174" s="3"/>
      <x:c r="G174" s="3"/>
      <x:c r="H174" s="3"/>
      <x:c r="I174" s="8" t="str">
        <x:f>IF($D174="","",IFERROR(INDEX('1 Žaliavų gavimas'!$G$4:$G$206,MATCH($D174,'1 Žaliavų gavimas'!$D$4:$D$206,0)),""))</x:f>
      </x:c>
      <x:c r="J174" s="2" t="str">
        <x:f>IF($D174="","",IF(IFERROR(INDEX('1 Žaliavų gavimas'!$B$4:$B$206,MATCH($D174,'1 Žaliavų gavimas'!$D$4:$D$206,0)),"")&lt;&gt;$C174,"PARTIJA NE TOS ŽALIAVOS",IF(AND($I174&lt;&gt;"",$I174&lt;$A174),"PASIBAIGĘS GALIOJIMAS","OK")))</x:f>
      </x:c>
    </x:row>
    <x:row r="175">
      <x:c r="A175" s="4"/>
      <x:c r="B175" s="3"/>
      <x:c r="C175" s="3"/>
      <x:c r="D175" s="3"/>
      <x:c r="E175" s="5"/>
      <x:c r="F175" s="3"/>
      <x:c r="G175" s="3"/>
      <x:c r="H175" s="3"/>
      <x:c r="I175" s="8" t="str">
        <x:f>IF($D175="","",IFERROR(INDEX('1 Žaliavų gavimas'!$G$4:$G$206,MATCH($D175,'1 Žaliavų gavimas'!$D$4:$D$206,0)),""))</x:f>
      </x:c>
      <x:c r="J175" s="2" t="str">
        <x:f>IF($D175="","",IF(IFERROR(INDEX('1 Žaliavų gavimas'!$B$4:$B$206,MATCH($D175,'1 Žaliavų gavimas'!$D$4:$D$206,0)),"")&lt;&gt;$C175,"PARTIJA NE TOS ŽALIAVOS",IF(AND($I175&lt;&gt;"",$I175&lt;$A175),"PASIBAIGĘS GALIOJIMAS","OK")))</x:f>
      </x:c>
    </x:row>
    <x:row r="176">
      <x:c r="A176" s="4"/>
      <x:c r="B176" s="3"/>
      <x:c r="C176" s="3"/>
      <x:c r="D176" s="3"/>
      <x:c r="E176" s="5"/>
      <x:c r="F176" s="3"/>
      <x:c r="G176" s="3"/>
      <x:c r="H176" s="3"/>
      <x:c r="I176" s="8" t="str">
        <x:f>IF($D176="","",IFERROR(INDEX('1 Žaliavų gavimas'!$G$4:$G$206,MATCH($D176,'1 Žaliavų gavimas'!$D$4:$D$206,0)),""))</x:f>
      </x:c>
      <x:c r="J176" s="2" t="str">
        <x:f>IF($D176="","",IF(IFERROR(INDEX('1 Žaliavų gavimas'!$B$4:$B$206,MATCH($D176,'1 Žaliavų gavimas'!$D$4:$D$206,0)),"")&lt;&gt;$C176,"PARTIJA NE TOS ŽALIAVOS",IF(AND($I176&lt;&gt;"",$I176&lt;$A176),"PASIBAIGĘS GALIOJIMAS","OK")))</x:f>
      </x:c>
    </x:row>
    <x:row r="177">
      <x:c r="A177" s="4"/>
      <x:c r="B177" s="3"/>
      <x:c r="C177" s="3"/>
      <x:c r="D177" s="3"/>
      <x:c r="E177" s="5"/>
      <x:c r="F177" s="3"/>
      <x:c r="G177" s="3"/>
      <x:c r="H177" s="3"/>
      <x:c r="I177" s="8" t="str">
        <x:f>IF($D177="","",IFERROR(INDEX('1 Žaliavų gavimas'!$G$4:$G$206,MATCH($D177,'1 Žaliavų gavimas'!$D$4:$D$206,0)),""))</x:f>
      </x:c>
      <x:c r="J177" s="2" t="str">
        <x:f>IF($D177="","",IF(IFERROR(INDEX('1 Žaliavų gavimas'!$B$4:$B$206,MATCH($D177,'1 Žaliavų gavimas'!$D$4:$D$206,0)),"")&lt;&gt;$C177,"PARTIJA NE TOS ŽALIAVOS",IF(AND($I177&lt;&gt;"",$I177&lt;$A177),"PASIBAIGĘS GALIOJIMAS","OK")))</x:f>
      </x:c>
    </x:row>
    <x:row r="178">
      <x:c r="A178" s="4"/>
      <x:c r="B178" s="3"/>
      <x:c r="C178" s="3"/>
      <x:c r="D178" s="3"/>
      <x:c r="E178" s="5"/>
      <x:c r="F178" s="3"/>
      <x:c r="G178" s="3"/>
      <x:c r="H178" s="3"/>
      <x:c r="I178" s="8" t="str">
        <x:f>IF($D178="","",IFERROR(INDEX('1 Žaliavų gavimas'!$G$4:$G$206,MATCH($D178,'1 Žaliavų gavimas'!$D$4:$D$206,0)),""))</x:f>
      </x:c>
      <x:c r="J178" s="2" t="str">
        <x:f>IF($D178="","",IF(IFERROR(INDEX('1 Žaliavų gavimas'!$B$4:$B$206,MATCH($D178,'1 Žaliavų gavimas'!$D$4:$D$206,0)),"")&lt;&gt;$C178,"PARTIJA NE TOS ŽALIAVOS",IF(AND($I178&lt;&gt;"",$I178&lt;$A178),"PASIBAIGĘS GALIOJIMAS","OK")))</x:f>
      </x:c>
    </x:row>
    <x:row r="179">
      <x:c r="A179" s="4"/>
      <x:c r="B179" s="3"/>
      <x:c r="C179" s="3"/>
      <x:c r="D179" s="3"/>
      <x:c r="E179" s="5"/>
      <x:c r="F179" s="3"/>
      <x:c r="G179" s="3"/>
      <x:c r="H179" s="3"/>
      <x:c r="I179" s="8" t="str">
        <x:f>IF($D179="","",IFERROR(INDEX('1 Žaliavų gavimas'!$G$4:$G$206,MATCH($D179,'1 Žaliavų gavimas'!$D$4:$D$206,0)),""))</x:f>
      </x:c>
      <x:c r="J179" s="2" t="str">
        <x:f>IF($D179="","",IF(IFERROR(INDEX('1 Žaliavų gavimas'!$B$4:$B$206,MATCH($D179,'1 Žaliavų gavimas'!$D$4:$D$206,0)),"")&lt;&gt;$C179,"PARTIJA NE TOS ŽALIAVOS",IF(AND($I179&lt;&gt;"",$I179&lt;$A179),"PASIBAIGĘS GALIOJIMAS","OK")))</x:f>
      </x:c>
    </x:row>
    <x:row r="180">
      <x:c r="A180" s="4"/>
      <x:c r="B180" s="3"/>
      <x:c r="C180" s="3"/>
      <x:c r="D180" s="3"/>
      <x:c r="E180" s="5"/>
      <x:c r="F180" s="3"/>
      <x:c r="G180" s="3"/>
      <x:c r="H180" s="3"/>
      <x:c r="I180" s="8" t="str">
        <x:f>IF($D180="","",IFERROR(INDEX('1 Žaliavų gavimas'!$G$4:$G$206,MATCH($D180,'1 Žaliavų gavimas'!$D$4:$D$206,0)),""))</x:f>
      </x:c>
      <x:c r="J180" s="2" t="str">
        <x:f>IF($D180="","",IF(IFERROR(INDEX('1 Žaliavų gavimas'!$B$4:$B$206,MATCH($D180,'1 Žaliavų gavimas'!$D$4:$D$206,0)),"")&lt;&gt;$C180,"PARTIJA NE TOS ŽALIAVOS",IF(AND($I180&lt;&gt;"",$I180&lt;$A180),"PASIBAIGĘS GALIOJIMAS","OK")))</x:f>
      </x:c>
    </x:row>
    <x:row r="181">
      <x:c r="A181" s="4"/>
      <x:c r="B181" s="3"/>
      <x:c r="C181" s="3"/>
      <x:c r="D181" s="3"/>
      <x:c r="E181" s="5"/>
      <x:c r="F181" s="3"/>
      <x:c r="G181" s="3"/>
      <x:c r="H181" s="3"/>
      <x:c r="I181" s="8" t="str">
        <x:f>IF($D181="","",IFERROR(INDEX('1 Žaliavų gavimas'!$G$4:$G$206,MATCH($D181,'1 Žaliavų gavimas'!$D$4:$D$206,0)),""))</x:f>
      </x:c>
      <x:c r="J181" s="2" t="str">
        <x:f>IF($D181="","",IF(IFERROR(INDEX('1 Žaliavų gavimas'!$B$4:$B$206,MATCH($D181,'1 Žaliavų gavimas'!$D$4:$D$206,0)),"")&lt;&gt;$C181,"PARTIJA NE TOS ŽALIAVOS",IF(AND($I181&lt;&gt;"",$I181&lt;$A181),"PASIBAIGĘS GALIOJIMAS","OK")))</x:f>
      </x:c>
    </x:row>
    <x:row r="182">
      <x:c r="A182" s="4"/>
      <x:c r="B182" s="3"/>
      <x:c r="C182" s="3"/>
      <x:c r="D182" s="3"/>
      <x:c r="E182" s="5"/>
      <x:c r="F182" s="3"/>
      <x:c r="G182" s="3"/>
      <x:c r="H182" s="3"/>
      <x:c r="I182" s="8" t="str">
        <x:f>IF($D182="","",IFERROR(INDEX('1 Žaliavų gavimas'!$G$4:$G$206,MATCH($D182,'1 Žaliavų gavimas'!$D$4:$D$206,0)),""))</x:f>
      </x:c>
      <x:c r="J182" s="2" t="str">
        <x:f>IF($D182="","",IF(IFERROR(INDEX('1 Žaliavų gavimas'!$B$4:$B$206,MATCH($D182,'1 Žaliavų gavimas'!$D$4:$D$206,0)),"")&lt;&gt;$C182,"PARTIJA NE TOS ŽALIAVOS",IF(AND($I182&lt;&gt;"",$I182&lt;$A182),"PASIBAIGĘS GALIOJIMAS","OK")))</x:f>
      </x:c>
    </x:row>
    <x:row r="183">
      <x:c r="A183" s="4"/>
      <x:c r="B183" s="3"/>
      <x:c r="C183" s="3"/>
      <x:c r="D183" s="3"/>
      <x:c r="E183" s="5"/>
      <x:c r="F183" s="3"/>
      <x:c r="G183" s="3"/>
      <x:c r="H183" s="3"/>
      <x:c r="I183" s="8" t="str">
        <x:f>IF($D183="","",IFERROR(INDEX('1 Žaliavų gavimas'!$G$4:$G$206,MATCH($D183,'1 Žaliavų gavimas'!$D$4:$D$206,0)),""))</x:f>
      </x:c>
      <x:c r="J183" s="2" t="str">
        <x:f>IF($D183="","",IF(IFERROR(INDEX('1 Žaliavų gavimas'!$B$4:$B$206,MATCH($D183,'1 Žaliavų gavimas'!$D$4:$D$206,0)),"")&lt;&gt;$C183,"PARTIJA NE TOS ŽALIAVOS",IF(AND($I183&lt;&gt;"",$I183&lt;$A183),"PASIBAIGĘS GALIOJIMAS","OK")))</x:f>
      </x:c>
    </x:row>
    <x:row r="184">
      <x:c r="A184" s="4"/>
      <x:c r="B184" s="3"/>
      <x:c r="C184" s="3"/>
      <x:c r="D184" s="3"/>
      <x:c r="E184" s="5"/>
      <x:c r="F184" s="3"/>
      <x:c r="G184" s="3"/>
      <x:c r="H184" s="3"/>
      <x:c r="I184" s="8" t="str">
        <x:f>IF($D184="","",IFERROR(INDEX('1 Žaliavų gavimas'!$G$4:$G$206,MATCH($D184,'1 Žaliavų gavimas'!$D$4:$D$206,0)),""))</x:f>
      </x:c>
      <x:c r="J184" s="2" t="str">
        <x:f>IF($D184="","",IF(IFERROR(INDEX('1 Žaliavų gavimas'!$B$4:$B$206,MATCH($D184,'1 Žaliavų gavimas'!$D$4:$D$206,0)),"")&lt;&gt;$C184,"PARTIJA NE TOS ŽALIAVOS",IF(AND($I184&lt;&gt;"",$I184&lt;$A184),"PASIBAIGĘS GALIOJIMAS","OK")))</x:f>
      </x:c>
    </x:row>
    <x:row r="185">
      <x:c r="A185" s="4"/>
      <x:c r="B185" s="3"/>
      <x:c r="C185" s="3"/>
      <x:c r="D185" s="3"/>
      <x:c r="E185" s="5"/>
      <x:c r="F185" s="3"/>
      <x:c r="G185" s="3"/>
      <x:c r="H185" s="3"/>
      <x:c r="I185" s="8" t="str">
        <x:f>IF($D185="","",IFERROR(INDEX('1 Žaliavų gavimas'!$G$4:$G$206,MATCH($D185,'1 Žaliavų gavimas'!$D$4:$D$206,0)),""))</x:f>
      </x:c>
      <x:c r="J185" s="2" t="str">
        <x:f>IF($D185="","",IF(IFERROR(INDEX('1 Žaliavų gavimas'!$B$4:$B$206,MATCH($D185,'1 Žaliavų gavimas'!$D$4:$D$206,0)),"")&lt;&gt;$C185,"PARTIJA NE TOS ŽALIAVOS",IF(AND($I185&lt;&gt;"",$I185&lt;$A185),"PASIBAIGĘS GALIOJIMAS","OK")))</x:f>
      </x:c>
    </x:row>
    <x:row r="186">
      <x:c r="A186" s="4"/>
      <x:c r="B186" s="3"/>
      <x:c r="C186" s="3"/>
      <x:c r="D186" s="3"/>
      <x:c r="E186" s="5"/>
      <x:c r="F186" s="3"/>
      <x:c r="G186" s="3"/>
      <x:c r="H186" s="3"/>
      <x:c r="I186" s="8" t="str">
        <x:f>IF($D186="","",IFERROR(INDEX('1 Žaliavų gavimas'!$G$4:$G$206,MATCH($D186,'1 Žaliavų gavimas'!$D$4:$D$206,0)),""))</x:f>
      </x:c>
      <x:c r="J186" s="2" t="str">
        <x:f>IF($D186="","",IF(IFERROR(INDEX('1 Žaliavų gavimas'!$B$4:$B$206,MATCH($D186,'1 Žaliavų gavimas'!$D$4:$D$206,0)),"")&lt;&gt;$C186,"PARTIJA NE TOS ŽALIAVOS",IF(AND($I186&lt;&gt;"",$I186&lt;$A186),"PASIBAIGĘS GALIOJIMAS","OK")))</x:f>
      </x:c>
    </x:row>
    <x:row r="187">
      <x:c r="A187" s="4"/>
      <x:c r="B187" s="3"/>
      <x:c r="C187" s="3"/>
      <x:c r="D187" s="3"/>
      <x:c r="E187" s="5"/>
      <x:c r="F187" s="3"/>
      <x:c r="G187" s="3"/>
      <x:c r="H187" s="3"/>
      <x:c r="I187" s="8" t="str">
        <x:f>IF($D187="","",IFERROR(INDEX('1 Žaliavų gavimas'!$G$4:$G$206,MATCH($D187,'1 Žaliavų gavimas'!$D$4:$D$206,0)),""))</x:f>
      </x:c>
      <x:c r="J187" s="2" t="str">
        <x:f>IF($D187="","",IF(IFERROR(INDEX('1 Žaliavų gavimas'!$B$4:$B$206,MATCH($D187,'1 Žaliavų gavimas'!$D$4:$D$206,0)),"")&lt;&gt;$C187,"PARTIJA NE TOS ŽALIAVOS",IF(AND($I187&lt;&gt;"",$I187&lt;$A187),"PASIBAIGĘS GALIOJIMAS","OK")))</x:f>
      </x:c>
    </x:row>
    <x:row r="188">
      <x:c r="A188" s="4"/>
      <x:c r="B188" s="3"/>
      <x:c r="C188" s="3"/>
      <x:c r="D188" s="3"/>
      <x:c r="E188" s="5"/>
      <x:c r="F188" s="3"/>
      <x:c r="G188" s="3"/>
      <x:c r="H188" s="3"/>
      <x:c r="I188" s="8" t="str">
        <x:f>IF($D188="","",IFERROR(INDEX('1 Žaliavų gavimas'!$G$4:$G$206,MATCH($D188,'1 Žaliavų gavimas'!$D$4:$D$206,0)),""))</x:f>
      </x:c>
      <x:c r="J188" s="2" t="str">
        <x:f>IF($D188="","",IF(IFERROR(INDEX('1 Žaliavų gavimas'!$B$4:$B$206,MATCH($D188,'1 Žaliavų gavimas'!$D$4:$D$206,0)),"")&lt;&gt;$C188,"PARTIJA NE TOS ŽALIAVOS",IF(AND($I188&lt;&gt;"",$I188&lt;$A188),"PASIBAIGĘS GALIOJIMAS","OK")))</x:f>
      </x:c>
    </x:row>
    <x:row r="189">
      <x:c r="A189" s="4"/>
      <x:c r="B189" s="3"/>
      <x:c r="C189" s="3"/>
      <x:c r="D189" s="3"/>
      <x:c r="E189" s="5"/>
      <x:c r="F189" s="3"/>
      <x:c r="G189" s="3"/>
      <x:c r="H189" s="3"/>
      <x:c r="I189" s="8" t="str">
        <x:f>IF($D189="","",IFERROR(INDEX('1 Žaliavų gavimas'!$G$4:$G$206,MATCH($D189,'1 Žaliavų gavimas'!$D$4:$D$206,0)),""))</x:f>
      </x:c>
      <x:c r="J189" s="2" t="str">
        <x:f>IF($D189="","",IF(IFERROR(INDEX('1 Žaliavų gavimas'!$B$4:$B$206,MATCH($D189,'1 Žaliavų gavimas'!$D$4:$D$206,0)),"")&lt;&gt;$C189,"PARTIJA NE TOS ŽALIAVOS",IF(AND($I189&lt;&gt;"",$I189&lt;$A189),"PASIBAIGĘS GALIOJIMAS","OK")))</x:f>
      </x:c>
    </x:row>
    <x:row r="190">
      <x:c r="A190" s="4"/>
      <x:c r="B190" s="3"/>
      <x:c r="C190" s="3"/>
      <x:c r="D190" s="3"/>
      <x:c r="E190" s="5"/>
      <x:c r="F190" s="3"/>
      <x:c r="G190" s="3"/>
      <x:c r="H190" s="3"/>
      <x:c r="I190" s="8" t="str">
        <x:f>IF($D190="","",IFERROR(INDEX('1 Žaliavų gavimas'!$G$4:$G$206,MATCH($D190,'1 Žaliavų gavimas'!$D$4:$D$206,0)),""))</x:f>
      </x:c>
      <x:c r="J190" s="2" t="str">
        <x:f>IF($D190="","",IF(IFERROR(INDEX('1 Žaliavų gavimas'!$B$4:$B$206,MATCH($D190,'1 Žaliavų gavimas'!$D$4:$D$206,0)),"")&lt;&gt;$C190,"PARTIJA NE TOS ŽALIAVOS",IF(AND($I190&lt;&gt;"",$I190&lt;$A190),"PASIBAIGĘS GALIOJIMAS","OK")))</x:f>
      </x:c>
    </x:row>
    <x:row r="191">
      <x:c r="A191" s="4"/>
      <x:c r="B191" s="3"/>
      <x:c r="C191" s="3"/>
      <x:c r="D191" s="3"/>
      <x:c r="E191" s="5"/>
      <x:c r="F191" s="3"/>
      <x:c r="G191" s="3"/>
      <x:c r="H191" s="3"/>
      <x:c r="I191" s="8" t="str">
        <x:f>IF($D191="","",IFERROR(INDEX('1 Žaliavų gavimas'!$G$4:$G$206,MATCH($D191,'1 Žaliavų gavimas'!$D$4:$D$206,0)),""))</x:f>
      </x:c>
      <x:c r="J191" s="2" t="str">
        <x:f>IF($D191="","",IF(IFERROR(INDEX('1 Žaliavų gavimas'!$B$4:$B$206,MATCH($D191,'1 Žaliavų gavimas'!$D$4:$D$206,0)),"")&lt;&gt;$C191,"PARTIJA NE TOS ŽALIAVOS",IF(AND($I191&lt;&gt;"",$I191&lt;$A191),"PASIBAIGĘS GALIOJIMAS","OK")))</x:f>
      </x:c>
    </x:row>
    <x:row r="192">
      <x:c r="A192" s="4"/>
      <x:c r="B192" s="3"/>
      <x:c r="C192" s="3"/>
      <x:c r="D192" s="3"/>
      <x:c r="E192" s="5"/>
      <x:c r="F192" s="3"/>
      <x:c r="G192" s="3"/>
      <x:c r="H192" s="3"/>
      <x:c r="I192" s="8" t="str">
        <x:f>IF($D192="","",IFERROR(INDEX('1 Žaliavų gavimas'!$G$4:$G$206,MATCH($D192,'1 Žaliavų gavimas'!$D$4:$D$206,0)),""))</x:f>
      </x:c>
      <x:c r="J192" s="2" t="str">
        <x:f>IF($D192="","",IF(IFERROR(INDEX('1 Žaliavų gavimas'!$B$4:$B$206,MATCH($D192,'1 Žaliavų gavimas'!$D$4:$D$206,0)),"")&lt;&gt;$C192,"PARTIJA NE TOS ŽALIAVOS",IF(AND($I192&lt;&gt;"",$I192&lt;$A192),"PASIBAIGĘS GALIOJIMAS","OK")))</x:f>
      </x:c>
    </x:row>
    <x:row r="193">
      <x:c r="A193" s="4"/>
      <x:c r="B193" s="3"/>
      <x:c r="C193" s="3"/>
      <x:c r="D193" s="3"/>
      <x:c r="E193" s="5"/>
      <x:c r="F193" s="3"/>
      <x:c r="G193" s="3"/>
      <x:c r="H193" s="3"/>
      <x:c r="I193" s="8" t="str">
        <x:f>IF($D193="","",IFERROR(INDEX('1 Žaliavų gavimas'!$G$4:$G$206,MATCH($D193,'1 Žaliavų gavimas'!$D$4:$D$206,0)),""))</x:f>
      </x:c>
      <x:c r="J193" s="2" t="str">
        <x:f>IF($D193="","",IF(IFERROR(INDEX('1 Žaliavų gavimas'!$B$4:$B$206,MATCH($D193,'1 Žaliavų gavimas'!$D$4:$D$206,0)),"")&lt;&gt;$C193,"PARTIJA NE TOS ŽALIAVOS",IF(AND($I193&lt;&gt;"",$I193&lt;$A193),"PASIBAIGĘS GALIOJIMAS","OK")))</x:f>
      </x:c>
    </x:row>
    <x:row r="194">
      <x:c r="A194" s="4"/>
      <x:c r="B194" s="3"/>
      <x:c r="C194" s="3"/>
      <x:c r="D194" s="3"/>
      <x:c r="E194" s="5"/>
      <x:c r="F194" s="3"/>
      <x:c r="G194" s="3"/>
      <x:c r="H194" s="3"/>
      <x:c r="I194" s="8" t="str">
        <x:f>IF($D194="","",IFERROR(INDEX('1 Žaliavų gavimas'!$G$4:$G$206,MATCH($D194,'1 Žaliavų gavimas'!$D$4:$D$206,0)),""))</x:f>
      </x:c>
      <x:c r="J194" s="2" t="str">
        <x:f>IF($D194="","",IF(IFERROR(INDEX('1 Žaliavų gavimas'!$B$4:$B$206,MATCH($D194,'1 Žaliavų gavimas'!$D$4:$D$206,0)),"")&lt;&gt;$C194,"PARTIJA NE TOS ŽALIAVOS",IF(AND($I194&lt;&gt;"",$I194&lt;$A194),"PASIBAIGĘS GALIOJIMAS","OK")))</x:f>
      </x:c>
    </x:row>
    <x:row r="195">
      <x:c r="A195" s="4"/>
      <x:c r="B195" s="3"/>
      <x:c r="C195" s="3"/>
      <x:c r="D195" s="3"/>
      <x:c r="E195" s="5"/>
      <x:c r="F195" s="3"/>
      <x:c r="G195" s="3"/>
      <x:c r="H195" s="3"/>
      <x:c r="I195" s="8" t="str">
        <x:f>IF($D195="","",IFERROR(INDEX('1 Žaliavų gavimas'!$G$4:$G$206,MATCH($D195,'1 Žaliavų gavimas'!$D$4:$D$206,0)),""))</x:f>
      </x:c>
      <x:c r="J195" s="2" t="str">
        <x:f>IF($D195="","",IF(IFERROR(INDEX('1 Žaliavų gavimas'!$B$4:$B$206,MATCH($D195,'1 Žaliavų gavimas'!$D$4:$D$206,0)),"")&lt;&gt;$C195,"PARTIJA NE TOS ŽALIAVOS",IF(AND($I195&lt;&gt;"",$I195&lt;$A195),"PASIBAIGĘS GALIOJIMAS","OK")))</x:f>
      </x:c>
    </x:row>
    <x:row r="196">
      <x:c r="A196" s="4"/>
      <x:c r="B196" s="3"/>
      <x:c r="C196" s="3"/>
      <x:c r="D196" s="3"/>
      <x:c r="E196" s="5"/>
      <x:c r="F196" s="3"/>
      <x:c r="G196" s="3"/>
      <x:c r="H196" s="3"/>
      <x:c r="I196" s="8" t="str">
        <x:f>IF($D196="","",IFERROR(INDEX('1 Žaliavų gavimas'!$G$4:$G$206,MATCH($D196,'1 Žaliavų gavimas'!$D$4:$D$206,0)),""))</x:f>
      </x:c>
      <x:c r="J196" s="2" t="str">
        <x:f>IF($D196="","",IF(IFERROR(INDEX('1 Žaliavų gavimas'!$B$4:$B$206,MATCH($D196,'1 Žaliavų gavimas'!$D$4:$D$206,0)),"")&lt;&gt;$C196,"PARTIJA NE TOS ŽALIAVOS",IF(AND($I196&lt;&gt;"",$I196&lt;$A196),"PASIBAIGĘS GALIOJIMAS","OK")))</x:f>
      </x:c>
    </x:row>
    <x:row r="197">
      <x:c r="A197" s="4"/>
      <x:c r="B197" s="3"/>
      <x:c r="C197" s="3"/>
      <x:c r="D197" s="3"/>
      <x:c r="E197" s="5"/>
      <x:c r="F197" s="3"/>
      <x:c r="G197" s="3"/>
      <x:c r="H197" s="3"/>
      <x:c r="I197" s="8" t="str">
        <x:f>IF($D197="","",IFERROR(INDEX('1 Žaliavų gavimas'!$G$4:$G$206,MATCH($D197,'1 Žaliavų gavimas'!$D$4:$D$206,0)),""))</x:f>
      </x:c>
      <x:c r="J197" s="2" t="str">
        <x:f>IF($D197="","",IF(IFERROR(INDEX('1 Žaliavų gavimas'!$B$4:$B$206,MATCH($D197,'1 Žaliavų gavimas'!$D$4:$D$206,0)),"")&lt;&gt;$C197,"PARTIJA NE TOS ŽALIAVOS",IF(AND($I197&lt;&gt;"",$I197&lt;$A197),"PASIBAIGĘS GALIOJIMAS","OK")))</x:f>
      </x:c>
    </x:row>
    <x:row r="198">
      <x:c r="A198" s="4"/>
      <x:c r="B198" s="3"/>
      <x:c r="C198" s="3"/>
      <x:c r="D198" s="3"/>
      <x:c r="E198" s="5"/>
      <x:c r="F198" s="3"/>
      <x:c r="G198" s="3"/>
      <x:c r="H198" s="3"/>
      <x:c r="I198" s="8" t="str">
        <x:f>IF($D198="","",IFERROR(INDEX('1 Žaliavų gavimas'!$G$4:$G$206,MATCH($D198,'1 Žaliavų gavimas'!$D$4:$D$206,0)),""))</x:f>
      </x:c>
      <x:c r="J198" s="2" t="str">
        <x:f>IF($D198="","",IF(IFERROR(INDEX('1 Žaliavų gavimas'!$B$4:$B$206,MATCH($D198,'1 Žaliavų gavimas'!$D$4:$D$206,0)),"")&lt;&gt;$C198,"PARTIJA NE TOS ŽALIAVOS",IF(AND($I198&lt;&gt;"",$I198&lt;$A198),"PASIBAIGĘS GALIOJIMAS","OK")))</x:f>
      </x:c>
    </x:row>
    <x:row r="199">
      <x:c r="A199" s="4"/>
      <x:c r="B199" s="3"/>
      <x:c r="C199" s="3"/>
      <x:c r="D199" s="3"/>
      <x:c r="E199" s="5"/>
      <x:c r="F199" s="3"/>
      <x:c r="G199" s="3"/>
      <x:c r="H199" s="3"/>
      <x:c r="I199" s="8" t="str">
        <x:f>IF($D199="","",IFERROR(INDEX('1 Žaliavų gavimas'!$G$4:$G$206,MATCH($D199,'1 Žaliavų gavimas'!$D$4:$D$206,0)),""))</x:f>
      </x:c>
      <x:c r="J199" s="2" t="str">
        <x:f>IF($D199="","",IF(IFERROR(INDEX('1 Žaliavų gavimas'!$B$4:$B$206,MATCH($D199,'1 Žaliavų gavimas'!$D$4:$D$206,0)),"")&lt;&gt;$C199,"PARTIJA NE TOS ŽALIAVOS",IF(AND($I199&lt;&gt;"",$I199&lt;$A199),"PASIBAIGĘS GALIOJIMAS","OK")))</x:f>
      </x:c>
    </x:row>
    <x:row r="200">
      <x:c r="A200" s="4"/>
      <x:c r="B200" s="3"/>
      <x:c r="C200" s="3"/>
      <x:c r="D200" s="3"/>
      <x:c r="E200" s="5"/>
      <x:c r="F200" s="3"/>
      <x:c r="G200" s="3"/>
      <x:c r="H200" s="3"/>
      <x:c r="I200" s="8" t="str">
        <x:f>IF($D200="","",IFERROR(INDEX('1 Žaliavų gavimas'!$G$4:$G$206,MATCH($D200,'1 Žaliavų gavimas'!$D$4:$D$206,0)),""))</x:f>
      </x:c>
      <x:c r="J200" s="2" t="str">
        <x:f>IF($D200="","",IF(IFERROR(INDEX('1 Žaliavų gavimas'!$B$4:$B$206,MATCH($D200,'1 Žaliavų gavimas'!$D$4:$D$206,0)),"")&lt;&gt;$C200,"PARTIJA NE TOS ŽALIAVOS",IF(AND($I200&lt;&gt;"",$I200&lt;$A200),"PASIBAIGĘS GALIOJIMAS","OK")))</x:f>
      </x:c>
    </x:row>
    <x:row r="201">
      <x:c r="A201" s="4"/>
      <x:c r="B201" s="3"/>
      <x:c r="C201" s="3"/>
      <x:c r="D201" s="3"/>
      <x:c r="E201" s="5"/>
      <x:c r="F201" s="3"/>
      <x:c r="G201" s="3"/>
      <x:c r="H201" s="3"/>
      <x:c r="I201" s="8" t="str">
        <x:f>IF($D201="","",IFERROR(INDEX('1 Žaliavų gavimas'!$G$4:$G$206,MATCH($D201,'1 Žaliavų gavimas'!$D$4:$D$206,0)),""))</x:f>
      </x:c>
      <x:c r="J201" s="2" t="str">
        <x:f>IF($D201="","",IF(IFERROR(INDEX('1 Žaliavų gavimas'!$B$4:$B$206,MATCH($D201,'1 Žaliavų gavimas'!$D$4:$D$206,0)),"")&lt;&gt;$C201,"PARTIJA NE TOS ŽALIAVOS",IF(AND($I201&lt;&gt;"",$I201&lt;$A201),"PASIBAIGĘS GALIOJIMAS","OK")))</x:f>
      </x:c>
    </x:row>
    <x:row r="202">
      <x:c r="A202" s="4"/>
      <x:c r="B202" s="3"/>
      <x:c r="C202" s="3"/>
      <x:c r="D202" s="3"/>
      <x:c r="E202" s="5"/>
      <x:c r="F202" s="3"/>
      <x:c r="G202" s="3"/>
      <x:c r="H202" s="3"/>
      <x:c r="I202" s="8" t="str">
        <x:f>IF($D202="","",IFERROR(INDEX('1 Žaliavų gavimas'!$G$4:$G$206,MATCH($D202,'1 Žaliavų gavimas'!$D$4:$D$206,0)),""))</x:f>
      </x:c>
      <x:c r="J202" s="2" t="str">
        <x:f>IF($D202="","",IF(IFERROR(INDEX('1 Žaliavų gavimas'!$B$4:$B$206,MATCH($D202,'1 Žaliavų gavimas'!$D$4:$D$206,0)),"")&lt;&gt;$C202,"PARTIJA NE TOS ŽALIAVOS",IF(AND($I202&lt;&gt;"",$I202&lt;$A202),"PASIBAIGĘS GALIOJIMAS","OK")))</x:f>
      </x:c>
    </x:row>
    <x:row r="203">
      <x:c r="A203" s="4"/>
      <x:c r="B203" s="3"/>
      <x:c r="C203" s="3"/>
      <x:c r="D203" s="3"/>
      <x:c r="E203" s="5"/>
      <x:c r="F203" s="3"/>
      <x:c r="G203" s="3"/>
      <x:c r="H203" s="3"/>
      <x:c r="I203" s="8" t="str">
        <x:f>IF($D203="","",IFERROR(INDEX('1 Žaliavų gavimas'!$G$4:$G$206,MATCH($D203,'1 Žaliavų gavimas'!$D$4:$D$206,0)),""))</x:f>
      </x:c>
      <x:c r="J203" s="2" t="str">
        <x:f>IF($D203="","",IF(IFERROR(INDEX('1 Žaliavų gavimas'!$B$4:$B$206,MATCH($D203,'1 Žaliavų gavimas'!$D$4:$D$206,0)),"")&lt;&gt;$C203,"PARTIJA NE TOS ŽALIAVOS",IF(AND($I203&lt;&gt;"",$I203&lt;$A203),"PASIBAIGĘS GALIOJIMAS","OK")))</x:f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cols>
    <x:col min="1" max="1" width="34" customWidth="1"/>
    <x:col min="2" max="2" width="17" customWidth="1"/>
    <x:col min="3" max="6" width="13" customWidth="1"/>
    <x:col min="7" max="7" width="20" customWidth="1"/>
    <x:col min="8" max="8" width="18" customWidth="1"/>
    <x:col min="9" max="9" width="16" customWidth="1"/>
    <x:col min="10" max="10" width="29" customWidth="1"/>
  </x:cols>
  <x:sheetData>
    <x:row r="1" ht="18">
      <x:c r="A1" s="19" t="s">
        <x:v>247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 ht="14.5">
      <x:c r="A2" s="20" t="s">
        <x:v>248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 ht="28">
      <x:c r="A3" s="11" t="s">
        <x:v>3</x:v>
      </x:c>
      <x:c r="B3" s="11" t="s">
        <x:v>5</x:v>
      </x:c>
      <x:c r="C3" s="11" t="s">
        <x:v>2</x:v>
      </x:c>
      <x:c r="D3" s="11" t="s">
        <x:v>8</x:v>
      </x:c>
      <x:c r="E3" s="11" t="s">
        <x:v>249</x:v>
      </x:c>
      <x:c r="F3" s="11" t="s">
        <x:v>10</x:v>
      </x:c>
      <x:c r="G3" s="11" t="s">
        <x:v>250</x:v>
      </x:c>
      <x:c r="H3" s="11" t="s">
        <x:v>11</x:v>
      </x:c>
      <x:c r="I3" s="11" t="s">
        <x:v>251</x:v>
      </x:c>
      <x:c r="J3" s="11" t="s">
        <x:v>233</x:v>
      </x:c>
    </x:row>
    <x:row r="4">
      <x:c r="A4" t="str">
        <x:f>IF('1 Žaliavų gavimas'!B4="","",'1 Žaliavų gavimas'!B4)</x:f>
        <x:v>Miltai</x:v>
      </x:c>
      <x:c r="B4" t="str">
        <x:f>IF($A4="","",'1 Žaliavų gavimas'!D4)</x:f>
        <x:v>Mil0630</x:v>
      </x:c>
      <x:c r="C4" s="12" t="n">
        <x:f>IF($A4="","",'1 Žaliavų gavimas'!A4)</x:f>
        <x:v>46203</x:v>
      </x:c>
      <x:c r="D4" s="12" t="n">
        <x:f>IF($A4="","",'1 Žaliavų gavimas'!G4)</x:f>
        <x:v>46419</x:v>
      </x:c>
      <x:c r="E4" s="38" t="n">
        <x:v>1650</x:v>
      </x:c>
      <x:c r="F4" s="13" t="n">
        <x:f>IF($A4="","",SUMIFS('5 Žaliavų perdavimai'!$E$4:$E$203,'5 Žaliavų perdavimai'!$D$4:$D$203,$B4))</x:f>
        <x:v>0</x:v>
      </x:c>
      <x:c r="G4" s="38" t="n">
        <x:v>1650</x:v>
      </x:c>
      <x:c r="H4" s="38" t="n">
        <x:f t="shared" ref="H4:H35" si="0">IF($A4="","",$E4-$F4-$G4)</x:f>
        <x:v>0</x:v>
      </x:c>
      <x:c r="I4" t="n">
        <x:f t="shared" ref="I4:I35" ca="1" si="1">IF(OR($A4="",$D4=""),"",$D4-TODAY())</x:f>
        <x:v>130</x:v>
      </x:c>
      <x:c r="J4" t="str">
        <x:f t="shared" ref="J4:J35" ca="1" si="2">IF($A4="","",IF($H4&lt;-0.001,"KONFLIKTAS – VIRŠYTAS LIKUTIS",IF($H4&lt;=0.001,"IŠNAUDOTA",IF($D4="","GALIOJIMAS NENURODYTAS",IF($D4&lt;TODAY(),"PASIBAIGĘS",IF($D4&lt;=TODAY()+3,"BAIGIASI ≤3 D.",IF($D4&lt;=TODAY()+7,"BAIGIASI ≤7 D.","OK")))))))</x:f>
        <x:v>IŠNAUDOTA</x:v>
      </x:c>
    </x:row>
    <x:row r="5">
      <x:c r="A5" t="str">
        <x:f>IF('1 Žaliavų gavimas'!B5="","",'1 Žaliavų gavimas'!B5)</x:f>
        <x:v>Pienas</x:v>
      </x:c>
      <x:c r="B5" t="str">
        <x:f>IF($A5="","",'1 Žaliavų gavimas'!D5)</x:f>
        <x:v>P0630</x:v>
      </x:c>
      <x:c r="C5" s="12" t="n">
        <x:f>IF($A5="","",'1 Žaliavų gavimas'!A5)</x:f>
        <x:v>46203</x:v>
      </x:c>
      <x:c r="D5" s="12" t="n">
        <x:f>IF($A5="","",'1 Žaliavų gavimas'!G5)</x:f>
        <x:v>46208</x:v>
      </x:c>
      <x:c r="E5" s="38" t="n">
        <x:v>115</x:v>
      </x:c>
      <x:c r="F5" s="13" t="n">
        <x:f>IF($A5="","",SUMIFS('5 Žaliavų perdavimai'!$E$4:$E$203,'5 Žaliavų perdavimai'!$D$4:$D$203,$B5))</x:f>
        <x:v>0</x:v>
      </x:c>
      <x:c r="G5" s="38" t="n">
        <x:v>115</x:v>
      </x:c>
      <x:c r="H5" s="38" t="n">
        <x:f t="shared" si="0"/>
        <x:v>0</x:v>
      </x:c>
      <x:c r="I5">
        <x:f t="shared" ca="1" si="1"/>
        <x:v>-80</x:v>
      </x:c>
      <x:c r="J5" t="str">
        <x:f t="shared" ca="1" si="2"/>
        <x:v>IŠNAUDOTA</x:v>
      </x:c>
    </x:row>
    <x:row r="6">
      <x:c r="A6" t="str">
        <x:f>IF('1 Žaliavų gavimas'!B6="","",'1 Žaliavų gavimas'!B6)</x:f>
        <x:v>Kiaušiniai</x:v>
      </x:c>
      <x:c r="B6" t="str">
        <x:f>IF($A6="","",'1 Žaliavų gavimas'!D6)</x:f>
        <x:v>K0630</x:v>
      </x:c>
      <x:c r="C6" s="12" t="n">
        <x:f>IF($A6="","",'1 Žaliavų gavimas'!A6)</x:f>
        <x:v>46203</x:v>
      </x:c>
      <x:c r="D6" s="12" t="n">
        <x:f>IF($A6="","",'1 Žaliavų gavimas'!G6)</x:f>
        <x:v>46218</x:v>
      </x:c>
      <x:c r="E6" s="38" t="n">
        <x:v>2592</x:v>
      </x:c>
      <x:c r="F6" s="13" t="n">
        <x:f>IF($A6="","",SUMIFS('5 Žaliavų perdavimai'!$E$4:$E$203,'5 Žaliavų perdavimai'!$D$4:$D$203,$B6))</x:f>
        <x:v>0</x:v>
      </x:c>
      <x:c r="G6" s="38" t="n">
        <x:v>1735.4377652</x:v>
      </x:c>
      <x:c r="H6" s="38" t="n">
        <x:f t="shared" si="0"/>
        <x:v>856.5622347999999</x:v>
      </x:c>
      <x:c r="I6">
        <x:f t="shared" ca="1" si="1"/>
        <x:v>-70</x:v>
      </x:c>
      <x:c r="J6" t="str">
        <x:f t="shared" ca="1" si="2"/>
        <x:v>PASIBAIGĘS</x:v>
      </x:c>
    </x:row>
    <x:row r="7">
      <x:c r="A7" t="str">
        <x:f>IF('1 Žaliavų gavimas'!B7="","",'1 Žaliavų gavimas'!B7)</x:f>
        <x:v>Grietinės mišinys</x:v>
      </x:c>
      <x:c r="B7" t="str">
        <x:f>IF($A7="","",'1 Žaliavų gavimas'!D7)</x:f>
        <x:v>Gr0630</x:v>
      </x:c>
      <x:c r="C7" s="12" t="n">
        <x:f>IF($A7="","",'1 Žaliavų gavimas'!A7)</x:f>
        <x:v>46203</x:v>
      </x:c>
      <x:c r="D7" s="12" t="n">
        <x:f>IF($A7="","",'1 Žaliavų gavimas'!G7)</x:f>
        <x:v>46208</x:v>
      </x:c>
      <x:c r="E7" s="38" t="n">
        <x:v>110</x:v>
      </x:c>
      <x:c r="F7" s="13" t="n">
        <x:f>IF($A7="","",SUMIFS('5 Žaliavų perdavimai'!$E$4:$E$203,'5 Žaliavų perdavimai'!$D$4:$D$203,$B7))</x:f>
        <x:v>0</x:v>
      </x:c>
      <x:c r="G7" s="38" t="n">
        <x:v>110</x:v>
      </x:c>
      <x:c r="H7" s="38" t="n">
        <x:f t="shared" si="0"/>
        <x:v>0</x:v>
      </x:c>
      <x:c r="I7">
        <x:f t="shared" ca="1" si="1"/>
        <x:v>-80</x:v>
      </x:c>
      <x:c r="J7" t="str">
        <x:f t="shared" ca="1" si="2"/>
        <x:v>IŠNAUDOTA</x:v>
      </x:c>
    </x:row>
    <x:row r="8">
      <x:c r="A8" t="str">
        <x:f>IF('1 Žaliavų gavimas'!B8="","",'1 Žaliavų gavimas'!B8)</x:f>
        <x:v>Cukrus</x:v>
      </x:c>
      <x:c r="B8" t="str">
        <x:f>IF($A8="","",'1 Žaliavų gavimas'!D8)</x:f>
        <x:v>Cuk0630</x:v>
      </x:c>
      <x:c r="C8" s="12" t="n">
        <x:f>IF($A8="","",'1 Žaliavų gavimas'!A8)</x:f>
        <x:v>46203</x:v>
      </x:c>
      <x:c r="D8" s="12" t="n">
        <x:f>IF($A8="","",'1 Žaliavų gavimas'!G8)</x:f>
        <x:v>46388</x:v>
      </x:c>
      <x:c r="E8" s="38" t="n">
        <x:v>1000</x:v>
      </x:c>
      <x:c r="F8" s="13" t="n">
        <x:f>IF($A8="","",SUMIFS('5 Žaliavų perdavimai'!$E$4:$E$203,'5 Žaliavų perdavimai'!$D$4:$D$203,$B8))</x:f>
        <x:v>0</x:v>
      </x:c>
      <x:c r="G8" s="38" t="n">
        <x:v>1000</x:v>
      </x:c>
      <x:c r="H8" s="38" t="n">
        <x:f t="shared" si="0"/>
        <x:v>0</x:v>
      </x:c>
      <x:c r="I8">
        <x:f t="shared" ca="1" si="1"/>
        <x:v>100</x:v>
      </x:c>
      <x:c r="J8" t="str">
        <x:f t="shared" ca="1" si="2"/>
        <x:v>OK</x:v>
      </x:c>
    </x:row>
    <x:row r="9">
      <x:c r="A9" t="str">
        <x:f>IF('1 Žaliavų gavimas'!B9="","",'1 Žaliavų gavimas'!B9)</x:f>
        <x:v>Ciberžolė</x:v>
      </x:c>
      <x:c r="B9" t="str">
        <x:f>IF($A9="","",'1 Žaliavų gavimas'!D9)</x:f>
        <x:v>Cib0630</x:v>
      </x:c>
      <x:c r="C9" s="12" t="n">
        <x:f>IF($A9="","",'1 Žaliavų gavimas'!A9)</x:f>
        <x:v>46203</x:v>
      </x:c>
      <x:c r="D9" s="12" t="n">
        <x:f>IF($A9="","",'1 Žaliavų gavimas'!G9)</x:f>
        <x:v>46573</x:v>
      </x:c>
      <x:c r="E9" s="38" t="n">
        <x:v>17</x:v>
      </x:c>
      <x:c r="F9" s="13" t="n">
        <x:f>IF($A9="","",SUMIFS('5 Žaliavų perdavimai'!$E$4:$E$203,'5 Žaliavų perdavimai'!$D$4:$D$203,$B9))</x:f>
        <x:v>0</x:v>
      </x:c>
      <x:c r="G9" s="38" t="n">
        <x:v>17</x:v>
      </x:c>
      <x:c r="H9" s="38" t="n">
        <x:f t="shared" si="0"/>
        <x:v>0</x:v>
      </x:c>
      <x:c r="I9">
        <x:f t="shared" ca="1" si="1"/>
        <x:v>285</x:v>
      </x:c>
      <x:c r="J9" t="str">
        <x:f t="shared" ca="1" si="2"/>
        <x:v>OK</x:v>
      </x:c>
    </x:row>
    <x:row r="10">
      <x:c r="A10" t="str">
        <x:f>IF('1 Žaliavų gavimas'!B10="","",'1 Žaliavų gavimas'!B10)</x:f>
        <x:v>Margarinas Šakočiui "Alvas"</x:v>
      </x:c>
      <x:c r="B10" t="str">
        <x:f>IF($A10="","",'1 Žaliavų gavimas'!D10)</x:f>
        <x:v>MarA0630</x:v>
      </x:c>
      <x:c r="C10" s="12" t="n">
        <x:f>IF($A10="","",'1 Žaliavų gavimas'!A10)</x:f>
        <x:v>46203</x:v>
      </x:c>
      <x:c r="D10" s="12" t="n">
        <x:f>IF($A10="","",'1 Žaliavų gavimas'!G10)</x:f>
        <x:v>46306</x:v>
      </x:c>
      <x:c r="E10" s="38" t="n">
        <x:v>1280</x:v>
      </x:c>
      <x:c r="F10" s="13" t="n">
        <x:f>IF($A10="","",SUMIFS('5 Žaliavų perdavimai'!$E$4:$E$203,'5 Žaliavų perdavimai'!$D$4:$D$203,$B10))</x:f>
        <x:v>0</x:v>
      </x:c>
      <x:c r="G10" s="38" t="n">
        <x:v>1280</x:v>
      </x:c>
      <x:c r="H10" s="38" t="n">
        <x:f t="shared" si="0"/>
        <x:v>0</x:v>
      </x:c>
      <x:c r="I10">
        <x:f t="shared" ca="1" si="1"/>
        <x:v>18</x:v>
      </x:c>
      <x:c r="J10" t="str">
        <x:f t="shared" ca="1" si="2"/>
        <x:v>OK</x:v>
      </x:c>
    </x:row>
    <x:row r="11">
      <x:c r="A11" t="str">
        <x:f>IF('1 Žaliavų gavimas'!B11="","",'1 Žaliavų gavimas'!B11)</x:f>
        <x:v>Margarinas trapiam "IEVA"</x:v>
      </x:c>
      <x:c r="B11" t="str">
        <x:f>IF($A11="","",'1 Žaliavų gavimas'!D11)</x:f>
        <x:v>MarI0630</x:v>
      </x:c>
      <x:c r="C11" s="12" t="n">
        <x:f>IF($A11="","",'1 Žaliavų gavimas'!A11)</x:f>
        <x:v>46203</x:v>
      </x:c>
      <x:c r="D11" s="12" t="n">
        <x:f>IF($A11="","",'1 Žaliavų gavimas'!G11)</x:f>
        <x:v>46336</x:v>
      </x:c>
      <x:c r="E11" s="38" t="n">
        <x:v>800</x:v>
      </x:c>
      <x:c r="F11" s="13" t="n">
        <x:f>IF($A11="","",SUMIFS('5 Žaliavų perdavimai'!$E$4:$E$203,'5 Žaliavų perdavimai'!$D$4:$D$203,$B11))</x:f>
        <x:v>0</x:v>
      </x:c>
      <x:c r="G11" s="38" t="n">
        <x:v>800</x:v>
      </x:c>
      <x:c r="H11" s="38" t="n">
        <x:f t="shared" si="0"/>
        <x:v>0</x:v>
      </x:c>
      <x:c r="I11">
        <x:f t="shared" ca="1" si="1"/>
        <x:v>48</x:v>
      </x:c>
      <x:c r="J11" t="str">
        <x:f t="shared" ca="1" si="2"/>
        <x:v>OK</x:v>
      </x:c>
    </x:row>
    <x:row r="12">
      <x:c r="A12" t="str">
        <x:f>IF('1 Žaliavų gavimas'!B12="","",'1 Žaliavų gavimas'!B12)</x:f>
        <x:v>Kvapnioji medžiaga</x:v>
      </x:c>
      <x:c r="B12" t="str">
        <x:f>IF($A12="","",'1 Žaliavų gavimas'!D12)</x:f>
        <x:v>Kvp0630</x:v>
      </x:c>
      <x:c r="C12" s="12" t="n">
        <x:f>IF($A12="","",'1 Žaliavų gavimas'!A12)</x:f>
        <x:v>46203</x:v>
      </x:c>
      <x:c r="D12" s="12" t="n">
        <x:f>IF($A12="","",'1 Žaliavų gavimas'!G12)</x:f>
        <x:v>46388</x:v>
      </x:c>
      <x:c r="E12" s="38" t="n">
        <x:v>20</x:v>
      </x:c>
      <x:c r="F12" s="13" t="n">
        <x:f>IF($A12="","",SUMIFS('5 Žaliavų perdavimai'!$E$4:$E$203,'5 Žaliavų perdavimai'!$D$4:$D$203,$B12))</x:f>
        <x:v>0</x:v>
      </x:c>
      <x:c r="G12" s="38" t="n">
        <x:v>10.16109218</x:v>
      </x:c>
      <x:c r="H12" s="38" t="n">
        <x:f t="shared" si="0"/>
        <x:v>9.83890782</x:v>
      </x:c>
      <x:c r="I12">
        <x:f t="shared" ca="1" si="1"/>
        <x:v>100</x:v>
      </x:c>
      <x:c r="J12" t="str">
        <x:f t="shared" ca="1" si="2"/>
        <x:v>OK</x:v>
      </x:c>
    </x:row>
    <x:row r="13">
      <x:c r="A13" t="str">
        <x:f>IF('1 Žaliavų gavimas'!B13="","",'1 Žaliavų gavimas'!B13)</x:f>
        <x:v>Sviestas</x:v>
      </x:c>
      <x:c r="B13" t="str">
        <x:f>IF($A13="","",'1 Žaliavų gavimas'!D13)</x:f>
        <x:v>Sv0630</x:v>
      </x:c>
      <x:c r="C13" s="12" t="n">
        <x:f>IF($A13="","",'1 Žaliavų gavimas'!A13)</x:f>
        <x:v>46203</x:v>
      </x:c>
      <x:c r="D13" s="12" t="n">
        <x:f>IF($A13="","",'1 Žaliavų gavimas'!G13)</x:f>
        <x:v>46368</x:v>
      </x:c>
      <x:c r="E13" s="38" t="n">
        <x:v>325</x:v>
      </x:c>
      <x:c r="F13" s="13" t="n">
        <x:f>IF($A13="","",SUMIFS('5 Žaliavų perdavimai'!$E$4:$E$203,'5 Žaliavų perdavimai'!$D$4:$D$203,$B13))</x:f>
        <x:v>0</x:v>
      </x:c>
      <x:c r="G13" s="38" t="n">
        <x:v>325</x:v>
      </x:c>
      <x:c r="H13" s="38" t="n">
        <x:f t="shared" si="0"/>
        <x:v>0</x:v>
      </x:c>
      <x:c r="I13">
        <x:f t="shared" ca="1" si="1"/>
        <x:v>80</x:v>
      </x:c>
      <x:c r="J13" t="str">
        <x:f t="shared" ca="1" si="2"/>
        <x:v>OK</x:v>
      </x:c>
    </x:row>
    <x:row r="14">
      <x:c r="A14" t="str">
        <x:f>IF('1 Žaliavų gavimas'!B14="","",'1 Žaliavų gavimas'!B14)</x:f>
        <x:v>Grietinės mišinys</x:v>
      </x:c>
      <x:c r="B14" t="str">
        <x:f>IF($A14="","",'1 Žaliavų gavimas'!D14)</x:f>
        <x:v>Gr0701</x:v>
      </x:c>
      <x:c r="C14" s="12" t="n">
        <x:f>IF($A14="","",'1 Žaliavų gavimas'!A14)</x:f>
        <x:v>46204</x:v>
      </x:c>
      <x:c r="D14" s="12" t="n">
        <x:f>IF($A14="","",'1 Žaliavų gavimas'!G14)</x:f>
        <x:v>46210</x:v>
      </x:c>
      <x:c r="E14" s="38" t="n">
        <x:v>100</x:v>
      </x:c>
      <x:c r="F14" s="13" t="n">
        <x:f>IF($A14="","",SUMIFS('5 Žaliavų perdavimai'!$E$4:$E$203,'5 Žaliavų perdavimai'!$D$4:$D$203,$B14))</x:f>
        <x:v>0</x:v>
      </x:c>
      <x:c r="G14" s="38" t="n">
        <x:v>80.79997985999998</x:v>
      </x:c>
      <x:c r="H14" s="38" t="n">
        <x:f t="shared" si="0"/>
        <x:v>19.20002014000002</x:v>
      </x:c>
      <x:c r="I14">
        <x:f t="shared" ca="1" si="1"/>
        <x:v>-78</x:v>
      </x:c>
      <x:c r="J14" t="str">
        <x:f t="shared" ca="1" si="2"/>
        <x:v>PASIBAIGĘS</x:v>
      </x:c>
    </x:row>
    <x:row r="15">
      <x:c r="A15" t="str">
        <x:f>IF('1 Žaliavų gavimas'!B15="","",'1 Žaliavų gavimas'!B15)</x:f>
        <x:v>Pienas</x:v>
      </x:c>
      <x:c r="B15" t="str">
        <x:f>IF($A15="","",'1 Žaliavų gavimas'!D15)</x:f>
        <x:v>P0701</x:v>
      </x:c>
      <x:c r="C15" s="12" t="n">
        <x:f>IF($A15="","",'1 Žaliavų gavimas'!A15)</x:f>
        <x:v>46204</x:v>
      </x:c>
      <x:c r="D15" s="12" t="n">
        <x:f>IF($A15="","",'1 Žaliavų gavimas'!G15)</x:f>
        <x:v>46210</x:v>
      </x:c>
      <x:c r="E15" s="38" t="n">
        <x:v>100</x:v>
      </x:c>
      <x:c r="F15" s="13" t="n">
        <x:f>IF($A15="","",SUMIFS('5 Žaliavų perdavimai'!$E$4:$E$203,'5 Žaliavų perdavimai'!$D$4:$D$203,$B15))</x:f>
        <x:v>0</x:v>
      </x:c>
      <x:c r="G15" s="38" t="n">
        <x:v>29.296915688</x:v>
      </x:c>
      <x:c r="H15" s="38" t="n">
        <x:f t="shared" si="0"/>
        <x:v>70.703084312</x:v>
      </x:c>
      <x:c r="I15">
        <x:f t="shared" ca="1" si="1"/>
        <x:v>-78</x:v>
      </x:c>
      <x:c r="J15" t="str">
        <x:f t="shared" ca="1" si="2"/>
        <x:v>PASIBAIGĘS</x:v>
      </x:c>
    </x:row>
    <x:row r="16">
      <x:c r="A16" t="str">
        <x:f>IF('1 Žaliavų gavimas'!B16="","",'1 Žaliavų gavimas'!B16)</x:f>
        <x:v>Cukrus</x:v>
      </x:c>
      <x:c r="B16" t="str">
        <x:f>IF($A16="","",'1 Žaliavų gavimas'!D16)</x:f>
        <x:v>Cuk0701</x:v>
      </x:c>
      <x:c r="C16" s="12" t="n">
        <x:f>IF($A16="","",'1 Žaliavų gavimas'!A16)</x:f>
        <x:v>46204</x:v>
      </x:c>
      <x:c r="D16" s="12" t="n">
        <x:f>IF($A16="","",'1 Žaliavų gavimas'!G16)</x:f>
        <x:v>46388</x:v>
      </x:c>
      <x:c r="E16" s="38" t="n">
        <x:v>800</x:v>
      </x:c>
      <x:c r="F16" s="13" t="n">
        <x:f>IF($A16="","",SUMIFS('5 Žaliavų perdavimai'!$E$4:$E$203,'5 Žaliavų perdavimai'!$D$4:$D$203,$B16))</x:f>
        <x:v>0</x:v>
      </x:c>
      <x:c r="G16" s="38" t="n">
        <x:v>800</x:v>
      </x:c>
      <x:c r="H16" s="38" t="n">
        <x:f t="shared" si="0"/>
        <x:v>0</x:v>
      </x:c>
      <x:c r="I16">
        <x:f t="shared" ca="1" si="1"/>
        <x:v>100</x:v>
      </x:c>
      <x:c r="J16" t="str">
        <x:f t="shared" ca="1" si="2"/>
        <x:v>OK</x:v>
      </x:c>
    </x:row>
    <x:row r="17">
      <x:c r="A17" t="str">
        <x:f>IF('1 Žaliavų gavimas'!B17="","",'1 Žaliavų gavimas'!B17)</x:f>
        <x:v>Margarinas trapiam "IEVA"</x:v>
      </x:c>
      <x:c r="B17" t="str">
        <x:f>IF($A17="","",'1 Žaliavų gavimas'!D17)</x:f>
        <x:v>MarI0702</x:v>
      </x:c>
      <x:c r="C17" s="12" t="n">
        <x:f>IF($A17="","",'1 Žaliavų gavimas'!A17)</x:f>
        <x:v>46205</x:v>
      </x:c>
      <x:c r="D17" s="12" t="n">
        <x:f>IF($A17="","",'1 Žaliavų gavimas'!G17)</x:f>
        <x:v>46373</x:v>
      </x:c>
      <x:c r="E17" s="38" t="n">
        <x:v>900</x:v>
      </x:c>
      <x:c r="F17" s="13" t="n">
        <x:f>IF($A17="","",SUMIFS('5 Žaliavų perdavimai'!$E$4:$E$203,'5 Žaliavų perdavimai'!$D$4:$D$203,$B17))</x:f>
        <x:v>0</x:v>
      </x:c>
      <x:c r="G17" s="38" t="n">
        <x:v>900</x:v>
      </x:c>
      <x:c r="H17" s="38" t="n">
        <x:f t="shared" si="0"/>
        <x:v>0</x:v>
      </x:c>
      <x:c r="I17">
        <x:f t="shared" ca="1" si="1"/>
        <x:v>85</x:v>
      </x:c>
      <x:c r="J17" t="str">
        <x:f t="shared" ca="1" si="2"/>
        <x:v>OK</x:v>
      </x:c>
    </x:row>
    <x:row r="18">
      <x:c r="A18" t="str">
        <x:f>IF('1 Žaliavų gavimas'!B18="","",'1 Žaliavų gavimas'!B18)</x:f>
        <x:v>Grietinės mišinys</x:v>
      </x:c>
      <x:c r="B18" t="str">
        <x:f>IF($A18="","",'1 Žaliavų gavimas'!D18)</x:f>
        <x:v>Gr0703</x:v>
      </x:c>
      <x:c r="C18" s="12" t="n">
        <x:f>IF($A18="","",'1 Žaliavų gavimas'!A18)</x:f>
        <x:v>46206</x:v>
      </x:c>
      <x:c r="D18" s="12" t="n">
        <x:f>IF($A18="","",'1 Žaliavų gavimas'!G18)</x:f>
        <x:v>46215</x:v>
      </x:c>
      <x:c r="E18" s="38" t="n">
        <x:v>150</x:v>
      </x:c>
      <x:c r="F18" s="13" t="n">
        <x:f>IF($A18="","",SUMIFS('5 Žaliavų perdavimai'!$E$4:$E$203,'5 Žaliavų perdavimai'!$D$4:$D$203,$B18))</x:f>
        <x:v>0</x:v>
      </x:c>
      <x:c r="G18" s="38" t="n">
        <x:v>150</x:v>
      </x:c>
      <x:c r="H18" s="38" t="n">
        <x:f t="shared" si="0"/>
        <x:v>0</x:v>
      </x:c>
      <x:c r="I18">
        <x:f t="shared" ca="1" si="1"/>
        <x:v>-73</x:v>
      </x:c>
      <x:c r="J18" t="str">
        <x:f t="shared" ca="1" si="2"/>
        <x:v>IŠNAUDOTA</x:v>
      </x:c>
    </x:row>
    <x:row r="19">
      <x:c r="A19" t="str">
        <x:f>IF('1 Žaliavų gavimas'!B19="","",'1 Žaliavų gavimas'!B19)</x:f>
        <x:v>Pienas</x:v>
      </x:c>
      <x:c r="B19" t="str">
        <x:f>IF($A19="","",'1 Žaliavų gavimas'!D19)</x:f>
        <x:v>P0703</x:v>
      </x:c>
      <x:c r="C19" s="12" t="n">
        <x:f>IF($A19="","",'1 Žaliavų gavimas'!A19)</x:f>
        <x:v>46209</x:v>
      </x:c>
      <x:c r="D19" s="12" t="n">
        <x:f>IF($A19="","",'1 Žaliavų gavimas'!G19)</x:f>
        <x:v>46213</x:v>
      </x:c>
      <x:c r="E19" s="38" t="n">
        <x:v>120</x:v>
      </x:c>
      <x:c r="F19" s="13" t="n">
        <x:f>IF($A19="","",SUMIFS('5 Žaliavų perdavimai'!$E$4:$E$203,'5 Žaliavų perdavimai'!$D$4:$D$203,$B19))</x:f>
        <x:v>0</x:v>
      </x:c>
      <x:c r="G19" s="38" t="n">
        <x:v>69.299988912</x:v>
      </x:c>
      <x:c r="H19" s="38" t="n">
        <x:f t="shared" si="0"/>
        <x:v>50.700011088</x:v>
      </x:c>
      <x:c r="I19">
        <x:f t="shared" ca="1" si="1"/>
        <x:v>-75</x:v>
      </x:c>
      <x:c r="J19" t="str">
        <x:f t="shared" ca="1" si="2"/>
        <x:v>PASIBAIGĘS</x:v>
      </x:c>
    </x:row>
    <x:row r="20">
      <x:c r="A20" t="str">
        <x:f>IF('1 Žaliavų gavimas'!B20="","",'1 Žaliavų gavimas'!B20)</x:f>
        <x:v>Miltai</x:v>
      </x:c>
      <x:c r="B20" t="str">
        <x:f>IF($A20="","",'1 Žaliavų gavimas'!D20)</x:f>
        <x:v>Mil0708</x:v>
      </x:c>
      <x:c r="C20" s="12" t="n">
        <x:f>IF($A20="","",'1 Žaliavų gavimas'!A20)</x:f>
        <x:v>46211</x:v>
      </x:c>
      <x:c r="D20" s="12" t="n">
        <x:f>IF($A20="","",'1 Žaliavų gavimas'!G20)</x:f>
        <x:v>46536</x:v>
      </x:c>
      <x:c r="E20" s="38" t="n">
        <x:v>800</x:v>
      </x:c>
      <x:c r="F20" s="13" t="n">
        <x:f>IF($A20="","",SUMIFS('5 Žaliavų perdavimai'!$E$4:$E$203,'5 Žaliavų perdavimai'!$D$4:$D$203,$B20))</x:f>
        <x:v>0</x:v>
      </x:c>
      <x:c r="G20" s="38" t="n">
        <x:v>800</x:v>
      </x:c>
      <x:c r="H20" s="38" t="n">
        <x:f t="shared" si="0"/>
        <x:v>0</x:v>
      </x:c>
      <x:c r="I20">
        <x:f t="shared" ca="1" si="1"/>
        <x:v>248</x:v>
      </x:c>
      <x:c r="J20" t="str">
        <x:f t="shared" ca="1" si="2"/>
        <x:v>OK</x:v>
      </x:c>
    </x:row>
    <x:row r="21">
      <x:c r="A21" t="str">
        <x:f>IF('1 Žaliavų gavimas'!B21="","",'1 Žaliavų gavimas'!B21)</x:f>
        <x:v>Grietinės mišinys</x:v>
      </x:c>
      <x:c r="B21" t="str">
        <x:f>IF($A21="","",'1 Žaliavų gavimas'!D21)</x:f>
        <x:v>Gr0710</x:v>
      </x:c>
      <x:c r="C21" s="12" t="n">
        <x:f>IF($A21="","",'1 Žaliavų gavimas'!A21)</x:f>
        <x:v>46213</x:v>
      </x:c>
      <x:c r="D21" s="12" t="n">
        <x:f>IF($A21="","",'1 Žaliavų gavimas'!G21)</x:f>
        <x:v>46221</x:v>
      </x:c>
      <x:c r="E21" s="38" t="n">
        <x:v>150</x:v>
      </x:c>
      <x:c r="F21" s="13" t="n">
        <x:f>IF($A21="","",SUMIFS('5 Žaliavų perdavimai'!$E$4:$E$203,'5 Žaliavų perdavimai'!$D$4:$D$203,$B21))</x:f>
        <x:v>0</x:v>
      </x:c>
      <x:c r="G21" s="38" t="n">
        <x:v>150</x:v>
      </x:c>
      <x:c r="H21" s="38" t="n">
        <x:f t="shared" si="0"/>
        <x:v>0</x:v>
      </x:c>
      <x:c r="I21">
        <x:f t="shared" ca="1" si="1"/>
        <x:v>-67</x:v>
      </x:c>
      <x:c r="J21" t="str">
        <x:f t="shared" ca="1" si="2"/>
        <x:v>PASIBAIGĘS</x:v>
      </x:c>
    </x:row>
    <x:row r="22">
      <x:c r="A22" t="str">
        <x:f>IF('1 Žaliavų gavimas'!B22="","",'1 Žaliavų gavimas'!B22)</x:f>
        <x:v>Pienas</x:v>
      </x:c>
      <x:c r="B22" t="str">
        <x:f>IF($A22="","",'1 Žaliavų gavimas'!D22)</x:f>
        <x:v>P0710</x:v>
      </x:c>
      <x:c r="C22" s="12" t="n">
        <x:f>IF($A22="","",'1 Žaliavų gavimas'!A22)</x:f>
        <x:v>46216</x:v>
      </x:c>
      <x:c r="D22" s="12" t="n">
        <x:f>IF($A22="","",'1 Žaliavų gavimas'!G22)</x:f>
        <x:v>46220</x:v>
      </x:c>
      <x:c r="E22" s="38" t="n">
        <x:v>50</x:v>
      </x:c>
      <x:c r="F22" s="13" t="n">
        <x:f>IF($A22="","",SUMIFS('5 Žaliavų perdavimai'!$E$4:$E$203,'5 Žaliavų perdavimai'!$D$4:$D$203,$B22))</x:f>
        <x:v>0</x:v>
      </x:c>
      <x:c r="G22" s="38" t="n">
        <x:v>50</x:v>
      </x:c>
      <x:c r="H22" s="38" t="n">
        <x:f t="shared" si="0"/>
        <x:v>0</x:v>
      </x:c>
      <x:c r="I22">
        <x:f t="shared" ca="1" si="1"/>
        <x:v>-68</x:v>
      </x:c>
      <x:c r="J22" t="str">
        <x:f t="shared" ca="1" si="2"/>
        <x:v>PASIBAIGĘS</x:v>
      </x:c>
    </x:row>
    <x:row r="23">
      <x:c r="A23" t="str">
        <x:f>IF('1 Žaliavų gavimas'!B23="","",'1 Žaliavų gavimas'!B23)</x:f>
        <x:v>Kiaušiniai</x:v>
      </x:c>
      <x:c r="B23" t="str">
        <x:f>IF($A23="","",'1 Žaliavų gavimas'!D23)</x:f>
        <x:v>K0713</x:v>
      </x:c>
      <x:c r="C23" s="12" t="n">
        <x:f>IF($A23="","",'1 Žaliavų gavimas'!A23)</x:f>
        <x:v>46216</x:v>
      </x:c>
      <x:c r="D23" s="12" t="n">
        <x:f>IF($A23="","",'1 Žaliavų gavimas'!G23)</x:f>
        <x:v>46237</x:v>
      </x:c>
      <x:c r="E23" s="38" t="n">
        <x:v>2592</x:v>
      </x:c>
      <x:c r="F23" s="13" t="n">
        <x:f>IF($A23="","",SUMIFS('5 Žaliavų perdavimai'!$E$4:$E$203,'5 Žaliavų perdavimai'!$D$4:$D$203,$B23))</x:f>
        <x:v>0</x:v>
      </x:c>
      <x:c r="G23" s="38" t="n">
        <x:v>2592</x:v>
      </x:c>
      <x:c r="H23" s="38" t="n">
        <x:f t="shared" si="0"/>
        <x:v>0</x:v>
      </x:c>
      <x:c r="I23">
        <x:f t="shared" ca="1" si="1"/>
        <x:v>-51</x:v>
      </x:c>
      <x:c r="J23" t="str">
        <x:f t="shared" ca="1" si="2"/>
        <x:v>PASIBAIGĘS</x:v>
      </x:c>
    </x:row>
    <x:row r="24">
      <x:c r="A24" t="str">
        <x:f>IF('1 Žaliavų gavimas'!B24="","",'1 Žaliavų gavimas'!B24)</x:f>
        <x:v>Grietinės mišinys</x:v>
      </x:c>
      <x:c r="B24" t="str">
        <x:f>IF($A24="","",'1 Žaliavų gavimas'!D24)</x:f>
        <x:v>Gr0715</x:v>
      </x:c>
      <x:c r="C24" s="12" t="n">
        <x:f>IF($A24="","",'1 Žaliavų gavimas'!A24)</x:f>
        <x:v>46218</x:v>
      </x:c>
      <x:c r="D24" s="12" t="n">
        <x:f>IF($A24="","",'1 Žaliavų gavimas'!G24)</x:f>
        <x:v>46227</x:v>
      </x:c>
      <x:c r="E24" s="38" t="n">
        <x:v>150</x:v>
      </x:c>
      <x:c r="F24" s="13" t="n">
        <x:f>IF($A24="","",SUMIFS('5 Žaliavų perdavimai'!$E$4:$E$203,'5 Žaliavų perdavimai'!$D$4:$D$203,$B24))</x:f>
        <x:v>0</x:v>
      </x:c>
      <x:c r="G24" s="38" t="n">
        <x:v>150</x:v>
      </x:c>
      <x:c r="H24" s="38" t="n">
        <x:f t="shared" si="0"/>
        <x:v>0</x:v>
      </x:c>
      <x:c r="I24">
        <x:f t="shared" ca="1" si="1"/>
        <x:v>-61</x:v>
      </x:c>
      <x:c r="J24" t="str">
        <x:f t="shared" ca="1" si="2"/>
        <x:v>PASIBAIGĘS</x:v>
      </x:c>
    </x:row>
    <x:row r="25">
      <x:c r="A25" t="str">
        <x:f>IF('1 Žaliavų gavimas'!B25="","",'1 Žaliavų gavimas'!B25)</x:f>
        <x:v>Pienas</x:v>
      </x:c>
      <x:c r="B25" t="str">
        <x:f>IF($A25="","",'1 Žaliavų gavimas'!D25)</x:f>
        <x:v>P0715</x:v>
      </x:c>
      <x:c r="C25" s="12" t="n">
        <x:f>IF($A25="","",'1 Žaliavų gavimas'!A25)</x:f>
        <x:v>46218</x:v>
      </x:c>
      <x:c r="D25" s="12" t="n">
        <x:f>IF($A25="","",'1 Žaliavų gavimas'!G25)</x:f>
        <x:v>46224</x:v>
      </x:c>
      <x:c r="E25" s="38" t="n">
        <x:v>100</x:v>
      </x:c>
      <x:c r="F25" s="13" t="n">
        <x:f>IF($A25="","",SUMIFS('5 Žaliavų perdavimai'!$E$4:$E$203,'5 Žaliavų perdavimai'!$D$4:$D$203,$B25))</x:f>
        <x:v>0</x:v>
      </x:c>
      <x:c r="G25" s="38" t="n">
        <x:v>100</x:v>
      </x:c>
      <x:c r="H25" s="38" t="n">
        <x:f t="shared" si="0"/>
        <x:v>0</x:v>
      </x:c>
      <x:c r="I25">
        <x:f t="shared" ca="1" si="1"/>
        <x:v>-64</x:v>
      </x:c>
      <x:c r="J25" t="str">
        <x:f t="shared" ca="1" si="2"/>
        <x:v>PASIBAIGĘS</x:v>
      </x:c>
    </x:row>
    <x:row r="26">
      <x:c r="A26" t="str">
        <x:f>IF('1 Žaliavų gavimas'!B26="","",'1 Žaliavų gavimas'!B26)</x:f>
        <x:v>Grietinės mišinys</x:v>
      </x:c>
      <x:c r="B26" t="str">
        <x:f>IF($A26="","",'1 Žaliavų gavimas'!D26)</x:f>
        <x:v>Gr0717</x:v>
      </x:c>
      <x:c r="C26" s="12" t="n">
        <x:f>IF($A26="","",'1 Žaliavų gavimas'!A26)</x:f>
        <x:v>46220</x:v>
      </x:c>
      <x:c r="D26" s="12" t="n">
        <x:f>IF($A26="","",'1 Žaliavų gavimas'!G26)</x:f>
        <x:v>46226</x:v>
      </x:c>
      <x:c r="E26" s="38" t="n">
        <x:v>125</x:v>
      </x:c>
      <x:c r="F26" s="13" t="n">
        <x:f>IF($A26="","",SUMIFS('5 Žaliavų perdavimai'!$E$4:$E$203,'5 Žaliavų perdavimai'!$D$4:$D$203,$B26))</x:f>
        <x:v>0</x:v>
      </x:c>
      <x:c r="G26" s="38" t="n">
        <x:v>125</x:v>
      </x:c>
      <x:c r="H26" s="38" t="n">
        <x:f t="shared" si="0"/>
        <x:v>0</x:v>
      </x:c>
      <x:c r="I26">
        <x:f t="shared" ca="1" si="1"/>
        <x:v>-62</x:v>
      </x:c>
      <x:c r="J26" t="str">
        <x:f t="shared" ca="1" si="2"/>
        <x:v>PASIBAIGĘS</x:v>
      </x:c>
    </x:row>
    <x:row r="27">
      <x:c r="A27" t="str">
        <x:f>IF('1 Žaliavų gavimas'!B27="","",'1 Žaliavų gavimas'!B27)</x:f>
        <x:v>Cukrus</x:v>
      </x:c>
      <x:c r="B27" t="str">
        <x:f>IF($A27="","",'1 Žaliavų gavimas'!D27)</x:f>
        <x:v>Cuk0720</x:v>
      </x:c>
      <x:c r="C27" s="12" t="n">
        <x:f>IF($A27="","",'1 Žaliavų gavimas'!A27)</x:f>
        <x:v>46223</x:v>
      </x:c>
      <x:c r="D27" s="12" t="n">
        <x:f>IF($A27="","",'1 Žaliavų gavimas'!G27)</x:f>
        <x:v>46388</x:v>
      </x:c>
      <x:c r="E27" s="38" t="n">
        <x:v>800</x:v>
      </x:c>
      <x:c r="F27" s="13" t="n">
        <x:f>IF($A27="","",SUMIFS('5 Žaliavų perdavimai'!$E$4:$E$203,'5 Žaliavų perdavimai'!$D$4:$D$203,$B27))</x:f>
        <x:v>0</x:v>
      </x:c>
      <x:c r="G27" s="38" t="n">
        <x:v>800</x:v>
      </x:c>
      <x:c r="H27" s="38" t="n">
        <x:f t="shared" si="0"/>
        <x:v>0</x:v>
      </x:c>
      <x:c r="I27">
        <x:f t="shared" ca="1" si="1"/>
        <x:v>100</x:v>
      </x:c>
      <x:c r="J27" t="str">
        <x:f t="shared" ca="1" si="2"/>
        <x:v>OK</x:v>
      </x:c>
    </x:row>
    <x:row r="28">
      <x:c r="A28" t="str">
        <x:f>IF('1 Žaliavų gavimas'!B28="","",'1 Žaliavų gavimas'!B28)</x:f>
        <x:v>Miltai</x:v>
      </x:c>
      <x:c r="B28" t="str">
        <x:f>IF($A28="","",'1 Žaliavų gavimas'!D28)</x:f>
        <x:v>Mil0720</x:v>
      </x:c>
      <x:c r="C28" s="12" t="n">
        <x:f>IF($A28="","",'1 Žaliavų gavimas'!A28)</x:f>
        <x:v>46223</x:v>
      </x:c>
      <x:c r="D28" s="12" t="n">
        <x:f>IF($A28="","",'1 Žaliavų gavimas'!G28)</x:f>
        <x:v>46550</x:v>
      </x:c>
      <x:c r="E28" s="38" t="n">
        <x:v>800</x:v>
      </x:c>
      <x:c r="F28" s="13" t="n">
        <x:f>IF($A28="","",SUMIFS('5 Žaliavų perdavimai'!$E$4:$E$203,'5 Žaliavų perdavimai'!$D$4:$D$203,$B28))</x:f>
        <x:v>0</x:v>
      </x:c>
      <x:c r="G28" s="38" t="n">
        <x:v>800</x:v>
      </x:c>
      <x:c r="H28" s="38" t="n">
        <x:f t="shared" si="0"/>
        <x:v>0</x:v>
      </x:c>
      <x:c r="I28">
        <x:f t="shared" ca="1" si="1"/>
        <x:v>262</x:v>
      </x:c>
      <x:c r="J28" t="str">
        <x:f t="shared" ca="1" si="2"/>
        <x:v>OK</x:v>
      </x:c>
    </x:row>
    <x:row r="29">
      <x:c r="A29" t="str">
        <x:f>IF('1 Žaliavų gavimas'!B29="","",'1 Žaliavų gavimas'!B29)</x:f>
        <x:v>Pienas</x:v>
      </x:c>
      <x:c r="B29" t="str">
        <x:f>IF($A29="","",'1 Žaliavų gavimas'!D29)</x:f>
        <x:v>P0720</x:v>
      </x:c>
      <x:c r="C29" s="12" t="n">
        <x:f>IF($A29="","",'1 Žaliavų gavimas'!A29)</x:f>
        <x:v>46223</x:v>
      </x:c>
      <x:c r="D29" s="12" t="n">
        <x:f>IF($A29="","",'1 Žaliavų gavimas'!G29)</x:f>
        <x:v>46227</x:v>
      </x:c>
      <x:c r="E29" s="38" t="n">
        <x:v>100</x:v>
      </x:c>
      <x:c r="F29" s="13" t="n">
        <x:f>IF($A29="","",SUMIFS('5 Žaliavų perdavimai'!$E$4:$E$203,'5 Žaliavų perdavimai'!$D$4:$D$203,$B29))</x:f>
        <x:v>0</x:v>
      </x:c>
      <x:c r="G29" s="38" t="n">
        <x:v>100</x:v>
      </x:c>
      <x:c r="H29" s="38" t="n">
        <x:f t="shared" si="0"/>
        <x:v>0</x:v>
      </x:c>
      <x:c r="I29">
        <x:f t="shared" ca="1" si="1"/>
        <x:v>-61</x:v>
      </x:c>
      <x:c r="J29" t="str">
        <x:f t="shared" ca="1" si="2"/>
        <x:v>PASIBAIGĘS</x:v>
      </x:c>
    </x:row>
    <x:row r="30">
      <x:c r="A30" t="str">
        <x:f>IF('1 Žaliavų gavimas'!B30="","",'1 Žaliavų gavimas'!B30)</x:f>
        <x:v>Grietinės mišinys</x:v>
      </x:c>
      <x:c r="B30" t="str">
        <x:f>IF($A30="","",'1 Žaliavų gavimas'!D30)</x:f>
        <x:v>Gr0720</x:v>
      </x:c>
      <x:c r="C30" s="12" t="n">
        <x:f>IF($A30="","",'1 Žaliavų gavimas'!A30)</x:f>
        <x:v>46223</x:v>
      </x:c>
      <x:c r="D30" s="12" t="n">
        <x:f>IF($A30="","",'1 Žaliavų gavimas'!G30)</x:f>
        <x:v>46234</x:v>
      </x:c>
      <x:c r="E30" s="38" t="n">
        <x:v>150</x:v>
      </x:c>
      <x:c r="F30" s="13" t="n">
        <x:f>IF($A30="","",SUMIFS('5 Žaliavų perdavimai'!$E$4:$E$203,'5 Žaliavų perdavimai'!$D$4:$D$203,$B30))</x:f>
        <x:v>0</x:v>
      </x:c>
      <x:c r="G30" s="38" t="n">
        <x:v>150</x:v>
      </x:c>
      <x:c r="H30" s="38" t="n">
        <x:f t="shared" si="0"/>
        <x:v>0</x:v>
      </x:c>
      <x:c r="I30">
        <x:f t="shared" ca="1" si="1"/>
        <x:v>-54</x:v>
      </x:c>
      <x:c r="J30" t="str">
        <x:f t="shared" ca="1" si="2"/>
        <x:v>PASIBAIGĘS</x:v>
      </x:c>
    </x:row>
    <x:row r="31">
      <x:c r="A31" t="str">
        <x:f>IF('1 Žaliavų gavimas'!B31="","",'1 Žaliavų gavimas'!B31)</x:f>
        <x:v>Grietinės mišinys</x:v>
      </x:c>
      <x:c r="B31" t="str">
        <x:f>IF($A31="","",'1 Žaliavų gavimas'!D31)</x:f>
        <x:v>Gr0724</x:v>
      </x:c>
      <x:c r="C31" s="12" t="n">
        <x:f>IF($A31="","",'1 Žaliavų gavimas'!A31)</x:f>
        <x:v>46227</x:v>
      </x:c>
      <x:c r="D31" s="12" t="n">
        <x:f>IF($A31="","",'1 Žaliavų gavimas'!G31)</x:f>
        <x:v>46237</x:v>
      </x:c>
      <x:c r="E31" s="38" t="n">
        <x:v>150</x:v>
      </x:c>
      <x:c r="F31" s="13" t="n">
        <x:f>IF($A31="","",SUMIFS('5 Žaliavų perdavimai'!$E$4:$E$203,'5 Žaliavų perdavimai'!$D$4:$D$203,$B31))</x:f>
        <x:v>0</x:v>
      </x:c>
      <x:c r="G31" s="38" t="n">
        <x:v>150</x:v>
      </x:c>
      <x:c r="H31" s="38" t="n">
        <x:f t="shared" si="0"/>
        <x:v>0</x:v>
      </x:c>
      <x:c r="I31">
        <x:f t="shared" ca="1" si="1"/>
        <x:v>-51</x:v>
      </x:c>
      <x:c r="J31" t="str">
        <x:f t="shared" ca="1" si="2"/>
        <x:v>PASIBAIGĘS</x:v>
      </x:c>
    </x:row>
    <x:row r="32">
      <x:c r="A32" t="str">
        <x:f>IF('1 Žaliavų gavimas'!B32="","",'1 Žaliavų gavimas'!B32)</x:f>
        <x:v>Cukrus</x:v>
      </x:c>
      <x:c r="B32" t="str">
        <x:f>IF($A32="","",'1 Žaliavų gavimas'!D32)</x:f>
        <x:v>Cuk0727</x:v>
      </x:c>
      <x:c r="C32" s="12" t="n">
        <x:f>IF($A32="","",'1 Žaliavų gavimas'!A32)</x:f>
        <x:v>46230</x:v>
      </x:c>
      <x:c r="D32" s="12" t="n">
        <x:f>IF($A32="","",'1 Žaliavų gavimas'!G32)</x:f>
        <x:v>46388</x:v>
      </x:c>
      <x:c r="E32" s="38" t="n">
        <x:v>800</x:v>
      </x:c>
      <x:c r="F32" s="13" t="n">
        <x:f>IF($A32="","",SUMIFS('5 Žaliavų perdavimai'!$E$4:$E$203,'5 Žaliavų perdavimai'!$D$4:$D$203,$B32))</x:f>
        <x:v>0</x:v>
      </x:c>
      <x:c r="G32" s="38" t="n">
        <x:v>800</x:v>
      </x:c>
      <x:c r="H32" s="38" t="n">
        <x:f t="shared" si="0"/>
        <x:v>0</x:v>
      </x:c>
      <x:c r="I32">
        <x:f t="shared" ca="1" si="1"/>
        <x:v>100</x:v>
      </x:c>
      <x:c r="J32" t="str">
        <x:f t="shared" ca="1" si="2"/>
        <x:v>OK</x:v>
      </x:c>
    </x:row>
    <x:row r="33">
      <x:c r="A33" t="str">
        <x:f>IF('1 Žaliavų gavimas'!B33="","",'1 Žaliavų gavimas'!B33)</x:f>
        <x:v>Miltai</x:v>
      </x:c>
      <x:c r="B33" t="str">
        <x:f>IF($A33="","",'1 Žaliavų gavimas'!D33)</x:f>
        <x:v>Mil0727</x:v>
      </x:c>
      <x:c r="C33" s="12" t="n">
        <x:f>IF($A33="","",'1 Žaliavų gavimas'!A33)</x:f>
        <x:v>46230</x:v>
      </x:c>
      <x:c r="D33" s="12" t="n">
        <x:f>IF($A33="","",'1 Žaliavų gavimas'!G33)</x:f>
        <x:v>46547</x:v>
      </x:c>
      <x:c r="E33" s="38" t="n">
        <x:v>800</x:v>
      </x:c>
      <x:c r="F33" s="13" t="n">
        <x:f>IF($A33="","",SUMIFS('5 Žaliavų perdavimai'!$E$4:$E$203,'5 Žaliavų perdavimai'!$D$4:$D$203,$B33))</x:f>
        <x:v>0</x:v>
      </x:c>
      <x:c r="G33" s="38" t="n">
        <x:v>800</x:v>
      </x:c>
      <x:c r="H33" s="38" t="n">
        <x:f t="shared" si="0"/>
        <x:v>0</x:v>
      </x:c>
      <x:c r="I33">
        <x:f t="shared" ca="1" si="1"/>
        <x:v>259</x:v>
      </x:c>
      <x:c r="J33" t="str">
        <x:f t="shared" ca="1" si="2"/>
        <x:v>OK</x:v>
      </x:c>
    </x:row>
    <x:row r="34">
      <x:c r="A34" t="str">
        <x:f>IF('1 Žaliavų gavimas'!B34="","",'1 Žaliavų gavimas'!B34)</x:f>
        <x:v>Pienas</x:v>
      </x:c>
      <x:c r="B34" t="str">
        <x:f>IF($A34="","",'1 Žaliavų gavimas'!D34)</x:f>
        <x:v>P0727</x:v>
      </x:c>
      <x:c r="C34" s="12" t="n">
        <x:f>IF($A34="","",'1 Žaliavų gavimas'!A34)</x:f>
        <x:v>46230</x:v>
      </x:c>
      <x:c r="D34" s="12" t="n">
        <x:f>IF($A34="","",'1 Žaliavų gavimas'!G34)</x:f>
        <x:v>46234</x:v>
      </x:c>
      <x:c r="E34" s="38" t="n">
        <x:v>100</x:v>
      </x:c>
      <x:c r="F34" s="13" t="n">
        <x:f>IF($A34="","",SUMIFS('5 Žaliavų perdavimai'!$E$4:$E$203,'5 Žaliavų perdavimai'!$D$4:$D$203,$B34))</x:f>
        <x:v>0</x:v>
      </x:c>
      <x:c r="G34" s="38" t="n">
        <x:v>100</x:v>
      </x:c>
      <x:c r="H34" s="38" t="n">
        <x:f t="shared" si="0"/>
        <x:v>0</x:v>
      </x:c>
      <x:c r="I34">
        <x:f t="shared" ca="1" si="1"/>
        <x:v>-54</x:v>
      </x:c>
      <x:c r="J34" t="str">
        <x:f t="shared" ca="1" si="2"/>
        <x:v>PASIBAIGĘS</x:v>
      </x:c>
    </x:row>
    <x:row r="35">
      <x:c r="A35" t="str">
        <x:f>IF('1 Žaliavų gavimas'!B35="","",'1 Žaliavų gavimas'!B35)</x:f>
        <x:v>Grietinės mišinys</x:v>
      </x:c>
      <x:c r="B35" t="str">
        <x:f>IF($A35="","",'1 Žaliavų gavimas'!D35)</x:f>
        <x:v>Gr0729</x:v>
      </x:c>
      <x:c r="C35" s="12" t="n">
        <x:f>IF($A35="","",'1 Žaliavų gavimas'!A35)</x:f>
        <x:v>46232</x:v>
      </x:c>
      <x:c r="D35" s="12" t="n">
        <x:f>IF($A35="","",'1 Žaliavų gavimas'!G35)</x:f>
        <x:v>46241</x:v>
      </x:c>
      <x:c r="E35" s="38" t="n">
        <x:v>150</x:v>
      </x:c>
      <x:c r="F35" s="13" t="n">
        <x:f>IF($A35="","",SUMIFS('5 Žaliavų perdavimai'!$E$4:$E$203,'5 Žaliavų perdavimai'!$D$4:$D$203,$B35))</x:f>
        <x:v>0</x:v>
      </x:c>
      <x:c r="G35" s="38" t="n">
        <x:v>150</x:v>
      </x:c>
      <x:c r="H35" s="38" t="n">
        <x:f t="shared" si="0"/>
        <x:v>0</x:v>
      </x:c>
      <x:c r="I35">
        <x:f t="shared" ca="1" si="1"/>
        <x:v>-47</x:v>
      </x:c>
      <x:c r="J35" t="str">
        <x:f t="shared" ca="1" si="2"/>
        <x:v>PASIBAIGĘS</x:v>
      </x:c>
    </x:row>
    <x:row r="36">
      <x:c r="A36" t="str">
        <x:f>IF('1 Žaliavų gavimas'!B36="","",'1 Žaliavų gavimas'!B36)</x:f>
        <x:v>Pienas</x:v>
      </x:c>
      <x:c r="B36" t="str">
        <x:f>IF($A36="","",'1 Žaliavų gavimas'!D36)</x:f>
        <x:v>P0729</x:v>
      </x:c>
      <x:c r="C36" s="12" t="n">
        <x:f>IF($A36="","",'1 Žaliavų gavimas'!A36)</x:f>
        <x:v>46232</x:v>
      </x:c>
      <x:c r="D36" s="12" t="n">
        <x:f>IF($A36="","",'1 Žaliavų gavimas'!G36)</x:f>
        <x:v>46238</x:v>
      </x:c>
      <x:c r="E36" s="38" t="n">
        <x:v>120</x:v>
      </x:c>
      <x:c r="F36" s="13" t="n">
        <x:f>IF($A36="","",SUMIFS('5 Žaliavų perdavimai'!$E$4:$E$203,'5 Žaliavų perdavimai'!$D$4:$D$203,$B36))</x:f>
        <x:v>0</x:v>
      </x:c>
      <x:c r="G36" s="38" t="n">
        <x:v>120</x:v>
      </x:c>
      <x:c r="H36" s="38" t="n">
        <x:f t="shared" ref="H36:H67" si="3">IF($A36="","",$E36-$F36-$G36)</x:f>
        <x:v>0</x:v>
      </x:c>
      <x:c r="I36" t="n">
        <x:f t="shared" ref="I36:I67" ca="1" si="4">IF(OR($A36="",$D36=""),"",$D36-TODAY())</x:f>
        <x:v>-51</x:v>
      </x:c>
      <x:c r="J36" t="str">
        <x:f t="shared" ref="J36:J67" ca="1" si="5">IF($A36="","",IF($H36&lt;-0.001,"KONFLIKTAS – VIRŠYTAS LIKUTIS",IF($H36&lt;=0.001,"IŠNAUDOTA",IF($D36="","GALIOJIMAS NENURODYTAS",IF($D36&lt;TODAY(),"PASIBAIGĘS",IF($D36&lt;=TODAY()+3,"BAIGIASI ≤3 D.",IF($D36&lt;=TODAY()+7,"BAIGIASI ≤7 D.","OK")))))))</x:f>
        <x:v>IŠNAUDOTA</x:v>
      </x:c>
    </x:row>
    <x:row r="37">
      <x:c r="A37" t="str">
        <x:f>IF('1 Žaliavų gavimas'!B37="","",'1 Žaliavų gavimas'!B37)</x:f>
        <x:v>Margarinas Šakočiui "Alvas"</x:v>
      </x:c>
      <x:c r="B37" t="str">
        <x:f>IF($A37="","",'1 Žaliavų gavimas'!D37)</x:f>
        <x:v>MarA0730</x:v>
      </x:c>
      <x:c r="C37" s="12" t="n">
        <x:f>IF($A37="","",'1 Žaliavų gavimas'!A37)</x:f>
        <x:v>46233</x:v>
      </x:c>
      <x:c r="D37" s="12" t="n">
        <x:f>IF($A37="","",'1 Žaliavų gavimas'!G37)</x:f>
        <x:v>46322</x:v>
      </x:c>
      <x:c r="E37" s="38" t="n">
        <x:v>1440</x:v>
      </x:c>
      <x:c r="F37" s="13" t="n">
        <x:f>IF($A37="","",SUMIFS('5 Žaliavų perdavimai'!$E$4:$E$203,'5 Žaliavų perdavimai'!$D$4:$D$203,$B37))</x:f>
        <x:v>0</x:v>
      </x:c>
      <x:c r="G37" s="38" t="n">
        <x:v>1359.1516185520002</x:v>
      </x:c>
      <x:c r="H37" s="38" t="n">
        <x:f t="shared" si="3"/>
        <x:v>80.84838144799983</x:v>
      </x:c>
      <x:c r="I37">
        <x:f t="shared" ca="1" si="4"/>
        <x:v>34</x:v>
      </x:c>
      <x:c r="J37" t="str">
        <x:f t="shared" ca="1" si="5"/>
        <x:v>OK</x:v>
      </x:c>
    </x:row>
    <x:row r="38">
      <x:c r="A38" t="str">
        <x:f>IF('1 Žaliavų gavimas'!B38="","",'1 Žaliavų gavimas'!B38)</x:f>
        <x:v>Margarinas trapiam "IEVA"</x:v>
      </x:c>
      <x:c r="B38" t="str">
        <x:f>IF($A38="","",'1 Žaliavų gavimas'!D38)</x:f>
        <x:v>MarI0730</x:v>
      </x:c>
      <x:c r="C38" s="12" t="n">
        <x:f>IF($A38="","",'1 Žaliavų gavimas'!A38)</x:f>
        <x:v>46233</x:v>
      </x:c>
      <x:c r="D38" s="12" t="n">
        <x:f>IF($A38="","",'1 Žaliavų gavimas'!G38)</x:f>
        <x:v>46401</x:v>
      </x:c>
      <x:c r="E38" s="38" t="n">
        <x:v>900</x:v>
      </x:c>
      <x:c r="F38" s="13" t="n">
        <x:f>IF($A38="","",SUMIFS('5 Žaliavų perdavimai'!$E$4:$E$203,'5 Žaliavų perdavimai'!$D$4:$D$203,$B38))</x:f>
        <x:v>0</x:v>
      </x:c>
      <x:c r="G38" s="38" t="n">
        <x:v>649.1408147200001</x:v>
      </x:c>
      <x:c r="H38" s="38" t="n">
        <x:f t="shared" si="3"/>
        <x:v>250.8591852799999</x:v>
      </x:c>
      <x:c r="I38">
        <x:f t="shared" ca="1" si="4"/>
        <x:v>113</x:v>
      </x:c>
      <x:c r="J38" t="str">
        <x:f t="shared" ca="1" si="5"/>
        <x:v>OK</x:v>
      </x:c>
    </x:row>
    <x:row r="39">
      <x:c r="A39" t="str">
        <x:f>IF('1 Žaliavų gavimas'!B39="","",'1 Žaliavų gavimas'!B39)</x:f>
        <x:v>Cukrus</x:v>
      </x:c>
      <x:c r="B39" t="str">
        <x:f>IF($A39="","",'1 Žaliavų gavimas'!D39)</x:f>
        <x:v>Cuk0730</x:v>
      </x:c>
      <x:c r="C39" s="12" t="n">
        <x:f>IF($A39="","",'1 Žaliavų gavimas'!A39)</x:f>
        <x:v>46233</x:v>
      </x:c>
      <x:c r="D39" s="12" t="n">
        <x:f>IF($A39="","",'1 Žaliavų gavimas'!G39)</x:f>
        <x:v>46388</x:v>
      </x:c>
      <x:c r="E39" s="38" t="n">
        <x:v>800</x:v>
      </x:c>
      <x:c r="F39" s="13" t="n">
        <x:f>IF($A39="","",SUMIFS('5 Žaliavų perdavimai'!$E$4:$E$203,'5 Žaliavų perdavimai'!$D$4:$D$203,$B39))</x:f>
        <x:v>0</x:v>
      </x:c>
      <x:c r="G39" s="38" t="n">
        <x:v>800</x:v>
      </x:c>
      <x:c r="H39" s="38" t="n">
        <x:f t="shared" si="3"/>
        <x:v>0</x:v>
      </x:c>
      <x:c r="I39">
        <x:f t="shared" ca="1" si="4"/>
        <x:v>100</x:v>
      </x:c>
      <x:c r="J39" t="str">
        <x:f t="shared" ca="1" si="5"/>
        <x:v>OK</x:v>
      </x:c>
    </x:row>
    <x:row r="40">
      <x:c r="A40" t="str">
        <x:f>IF('1 Žaliavų gavimas'!B40="","",'1 Žaliavų gavimas'!B40)</x:f>
        <x:v>Sviestas</x:v>
      </x:c>
      <x:c r="B40" t="str">
        <x:f>IF($A40="","",'1 Žaliavų gavimas'!D40)</x:f>
        <x:v>Sv0730</x:v>
      </x:c>
      <x:c r="C40" s="12" t="n">
        <x:f>IF($A40="","",'1 Žaliavų gavimas'!A40)</x:f>
        <x:v>46233</x:v>
      </x:c>
      <x:c r="D40" s="12" t="n">
        <x:f>IF($A40="","",'1 Žaliavų gavimas'!G40)</x:f>
        <x:v>46546</x:v>
      </x:c>
      <x:c r="E40" s="38" t="n">
        <x:v>500</x:v>
      </x:c>
      <x:c r="F40" s="13" t="n">
        <x:f>IF($A40="","",SUMIFS('5 Žaliavų perdavimai'!$E$4:$E$203,'5 Žaliavų perdavimai'!$D$4:$D$203,$B40))</x:f>
        <x:v>0</x:v>
      </x:c>
      <x:c r="G40" s="38" t="n">
        <x:v>84.19993452800004</x:v>
      </x:c>
      <x:c r="H40" s="38" t="n">
        <x:f t="shared" si="3"/>
        <x:v>415.80006547199997</x:v>
      </x:c>
      <x:c r="I40">
        <x:f t="shared" ca="1" si="4"/>
        <x:v>258</x:v>
      </x:c>
      <x:c r="J40" t="str">
        <x:f t="shared" ca="1" si="5"/>
        <x:v>OK</x:v>
      </x:c>
    </x:row>
    <x:row r="41">
      <x:c r="A41" t="str">
        <x:f>IF('1 Žaliavų gavimas'!B41="","",'1 Žaliavų gavimas'!B41)</x:f>
        <x:v>Grietinės mišinys</x:v>
      </x:c>
      <x:c r="B41" t="str">
        <x:f>IF($A41="","",'1 Žaliavų gavimas'!D41)</x:f>
        <x:v>Gr0731</x:v>
      </x:c>
      <x:c r="C41" s="12" t="n">
        <x:f>IF($A41="","",'1 Žaliavų gavimas'!A41)</x:f>
        <x:v>46234</x:v>
      </x:c>
      <x:c r="D41" s="12" t="n">
        <x:f>IF($A41="","",'1 Žaliavų gavimas'!G41)</x:f>
        <x:v>46239</x:v>
      </x:c>
      <x:c r="E41" s="38" t="n">
        <x:v>150</x:v>
      </x:c>
      <x:c r="F41" s="13" t="n">
        <x:f>IF($A41="","",SUMIFS('5 Žaliavų perdavimai'!$E$4:$E$203,'5 Žaliavų perdavimai'!$D$4:$D$203,$B41))</x:f>
        <x:v>0</x:v>
      </x:c>
      <x:c r="G41" s="38" t="n">
        <x:v>137.9999696</x:v>
      </x:c>
      <x:c r="H41" s="38" t="n">
        <x:f t="shared" si="3"/>
        <x:v>12.000030400000014</x:v>
      </x:c>
      <x:c r="I41">
        <x:f t="shared" ca="1" si="4"/>
        <x:v>-49</x:v>
      </x:c>
      <x:c r="J41" t="str">
        <x:f t="shared" ca="1" si="5"/>
        <x:v>PASIBAIGĘS</x:v>
      </x:c>
    </x:row>
    <x:row r="42">
      <x:c r="A42" t="str">
        <x:f>IF('1 Žaliavų gavimas'!B42="","",'1 Žaliavų gavimas'!B42)</x:f>
        <x:v>Grietinės mišinys</x:v>
      </x:c>
      <x:c r="B42" t="str">
        <x:f>IF($A42="","",'1 Žaliavų gavimas'!D42)</x:f>
        <x:v>Gr0803</x:v>
      </x:c>
      <x:c r="C42" s="12" t="n">
        <x:f>IF($A42="","",'1 Žaliavų gavimas'!A42)</x:f>
        <x:v>46237</x:v>
      </x:c>
      <x:c r="D42" s="12" t="n">
        <x:f>IF($A42="","",'1 Žaliavų gavimas'!G42)</x:f>
        <x:v>46239</x:v>
      </x:c>
      <x:c r="E42" s="38" t="n">
        <x:v>100</x:v>
      </x:c>
      <x:c r="F42" s="13" t="n">
        <x:f>IF($A42="","",SUMIFS('5 Žaliavų perdavimai'!$E$4:$E$203,'5 Žaliavų perdavimai'!$D$4:$D$203,$B42))</x:f>
        <x:v>0</x:v>
      </x:c>
      <x:c r="G42" s="38" t="n">
        <x:v>0</x:v>
      </x:c>
      <x:c r="H42" s="38" t="n">
        <x:f t="shared" si="3"/>
        <x:v>100</x:v>
      </x:c>
      <x:c r="I42">
        <x:f t="shared" ca="1" si="4"/>
        <x:v>-49</x:v>
      </x:c>
      <x:c r="J42" t="str">
        <x:f t="shared" ca="1" si="5"/>
        <x:v>PASIBAIGĘS</x:v>
      </x:c>
    </x:row>
    <x:row r="43">
      <x:c r="A43" t="str">
        <x:f>IF('1 Žaliavų gavimas'!B43="","",'1 Žaliavų gavimas'!B43)</x:f>
        <x:v>Pienas</x:v>
      </x:c>
      <x:c r="B43" t="str">
        <x:f>IF($A43="","",'1 Žaliavų gavimas'!D43)</x:f>
        <x:v>P0803</x:v>
      </x:c>
      <x:c r="C43" s="12" t="n">
        <x:f>IF($A43="","",'1 Žaliavų gavimas'!A43)</x:f>
        <x:v>46237</x:v>
      </x:c>
      <x:c r="D43" s="12" t="n">
        <x:f>IF($A43="","",'1 Žaliavų gavimas'!G43)</x:f>
        <x:v>46241</x:v>
      </x:c>
      <x:c r="E43" s="38" t="n">
        <x:v>120</x:v>
      </x:c>
      <x:c r="F43" s="13" t="n">
        <x:f>IF($A43="","",SUMIFS('5 Žaliavų perdavimai'!$E$4:$E$203,'5 Žaliavų perdavimai'!$D$4:$D$203,$B43))</x:f>
        <x:v>0</x:v>
      </x:c>
      <x:c r="G43" s="38" t="n">
        <x:v>120</x:v>
      </x:c>
      <x:c r="H43" s="38" t="n">
        <x:f t="shared" si="3"/>
        <x:v>0</x:v>
      </x:c>
      <x:c r="I43">
        <x:f t="shared" ca="1" si="4"/>
        <x:v>-47</x:v>
      </x:c>
      <x:c r="J43" t="str">
        <x:f t="shared" ca="1" si="5"/>
        <x:v>PASIBAIGĘS</x:v>
      </x:c>
    </x:row>
    <x:row r="44">
      <x:c r="A44" t="str">
        <x:f>IF('1 Žaliavų gavimas'!B44="","",'1 Žaliavų gavimas'!B44)</x:f>
        <x:v>Miltai</x:v>
      </x:c>
      <x:c r="B44" t="str">
        <x:f>IF($A44="","",'1 Žaliavų gavimas'!D44)</x:f>
        <x:v>Mil0803</x:v>
      </x:c>
      <x:c r="C44" s="12" t="n">
        <x:f>IF($A44="","",'1 Žaliavų gavimas'!A44)</x:f>
        <x:v>46237</x:v>
      </x:c>
      <x:c r="D44" s="12" t="n">
        <x:f>IF($A44="","",'1 Žaliavų gavimas'!G44)</x:f>
        <x:v>46581</x:v>
      </x:c>
      <x:c r="E44" s="38" t="n">
        <x:v>800</x:v>
      </x:c>
      <x:c r="F44" s="13" t="n">
        <x:f>IF($A44="","",SUMIFS('5 Žaliavų perdavimai'!$E$4:$E$203,'5 Žaliavų perdavimai'!$D$4:$D$203,$B44))</x:f>
        <x:v>0</x:v>
      </x:c>
      <x:c r="G44" s="38" t="n">
        <x:v>800</x:v>
      </x:c>
      <x:c r="H44" s="38" t="n">
        <x:f t="shared" si="3"/>
        <x:v>0</x:v>
      </x:c>
      <x:c r="I44">
        <x:f t="shared" ca="1" si="4"/>
        <x:v>293</x:v>
      </x:c>
      <x:c r="J44" t="str">
        <x:f t="shared" ca="1" si="5"/>
        <x:v>OK</x:v>
      </x:c>
    </x:row>
    <x:row r="45">
      <x:c r="A45" t="str">
        <x:f>IF('1 Žaliavų gavimas'!B45="","",'1 Žaliavų gavimas'!B45)</x:f>
        <x:v>Kiaušiniai</x:v>
      </x:c>
      <x:c r="B45" t="str">
        <x:f>IF($A45="","",'1 Žaliavų gavimas'!D45)</x:f>
        <x:v>K0803</x:v>
      </x:c>
      <x:c r="C45" s="12" t="n">
        <x:f>IF($A45="","",'1 Žaliavų gavimas'!A45)</x:f>
        <x:v>46237</x:v>
      </x:c>
      <x:c r="D45" s="12" t="n">
        <x:f>IF($A45="","",'1 Žaliavų gavimas'!G45)</x:f>
        <x:v>46257</x:v>
      </x:c>
      <x:c r="E45" s="38" t="n">
        <x:v>2592</x:v>
      </x:c>
      <x:c r="F45" s="13" t="n">
        <x:f>IF($A45="","",SUMIFS('5 Žaliavų perdavimai'!$E$4:$E$203,'5 Žaliavų perdavimai'!$D$4:$D$203,$B45))</x:f>
        <x:v>0</x:v>
      </x:c>
      <x:c r="G45" s="38" t="n">
        <x:v>2592</x:v>
      </x:c>
      <x:c r="H45" s="38" t="n">
        <x:f t="shared" si="3"/>
        <x:v>0</x:v>
      </x:c>
      <x:c r="I45">
        <x:f t="shared" ca="1" si="4"/>
        <x:v>-31</x:v>
      </x:c>
      <x:c r="J45" t="str">
        <x:f t="shared" ca="1" si="5"/>
        <x:v>PASIBAIGĘS</x:v>
      </x:c>
    </x:row>
    <x:row r="46">
      <x:c r="A46" t="str">
        <x:f>IF('1 Žaliavų gavimas'!B46="","",'1 Žaliavų gavimas'!B46)</x:f>
        <x:v>Grietinės mišinys</x:v>
      </x:c>
      <x:c r="B46" t="str">
        <x:f>IF($A46="","",'1 Žaliavų gavimas'!D46)</x:f>
        <x:v>Gr0805</x:v>
      </x:c>
      <x:c r="C46" s="12" t="n">
        <x:f>IF($A46="","",'1 Žaliavų gavimas'!A46)</x:f>
        <x:v>46239</x:v>
      </x:c>
      <x:c r="D46" s="12" t="n">
        <x:f>IF($A46="","",'1 Žaliavų gavimas'!G46)</x:f>
        <x:v>46248</x:v>
      </x:c>
      <x:c r="E46" s="38" t="n">
        <x:v>150</x:v>
      </x:c>
      <x:c r="F46" s="13" t="n">
        <x:f>IF($A46="","",SUMIFS('5 Žaliavų perdavimai'!$E$4:$E$203,'5 Žaliavų perdavimai'!$D$4:$D$203,$B46))</x:f>
        <x:v>0</x:v>
      </x:c>
      <x:c r="G46" s="38" t="n">
        <x:v>150</x:v>
      </x:c>
      <x:c r="H46" s="38" t="n">
        <x:f t="shared" si="3"/>
        <x:v>0</x:v>
      </x:c>
      <x:c r="I46">
        <x:f t="shared" ca="1" si="4"/>
        <x:v>-40</x:v>
      </x:c>
      <x:c r="J46" t="str">
        <x:f t="shared" ca="1" si="5"/>
        <x:v>PASIBAIGĘS</x:v>
      </x:c>
    </x:row>
    <x:row r="47">
      <x:c r="A47" t="str">
        <x:f>IF('1 Žaliavų gavimas'!B47="","",'1 Žaliavų gavimas'!B47)</x:f>
        <x:v>Pienas</x:v>
      </x:c>
      <x:c r="B47" t="str">
        <x:f>IF($A47="","",'1 Žaliavų gavimas'!D47)</x:f>
        <x:v>P0805</x:v>
      </x:c>
      <x:c r="C47" s="12" t="n">
        <x:f>IF($A47="","",'1 Žaliavų gavimas'!A47)</x:f>
        <x:v>46239</x:v>
      </x:c>
      <x:c r="D47" s="12" t="n">
        <x:f>IF($A47="","",'1 Žaliavų gavimas'!G47)</x:f>
        <x:v>46245</x:v>
      </x:c>
      <x:c r="E47" s="38" t="n">
        <x:v>120</x:v>
      </x:c>
      <x:c r="F47" s="13" t="n">
        <x:f>IF($A47="","",SUMIFS('5 Žaliavų perdavimai'!$E$4:$E$203,'5 Žaliavų perdavimai'!$D$4:$D$203,$B47))</x:f>
        <x:v>0</x:v>
      </x:c>
      <x:c r="G47" s="38" t="n">
        <x:v>120</x:v>
      </x:c>
      <x:c r="H47" s="38" t="n">
        <x:f t="shared" si="3"/>
        <x:v>0</x:v>
      </x:c>
      <x:c r="I47">
        <x:f t="shared" ca="1" si="4"/>
        <x:v>-43</x:v>
      </x:c>
      <x:c r="J47" t="str">
        <x:f t="shared" ca="1" si="5"/>
        <x:v>PASIBAIGĘS</x:v>
      </x:c>
    </x:row>
    <x:row r="48">
      <x:c r="A48" t="str">
        <x:f>IF('1 Žaliavų gavimas'!B48="","",'1 Žaliavų gavimas'!B48)</x:f>
        <x:v>Miltai</x:v>
      </x:c>
      <x:c r="B48" t="str">
        <x:f>IF($A48="","",'1 Žaliavų gavimas'!D48)</x:f>
        <x:v>Mil0805</x:v>
      </x:c>
      <x:c r="C48" s="12" t="n">
        <x:f>IF($A48="","",'1 Žaliavų gavimas'!A48)</x:f>
        <x:v>46239</x:v>
      </x:c>
      <x:c r="D48" s="12" t="n">
        <x:f>IF($A48="","",'1 Žaliavų gavimas'!G48)</x:f>
        <x:v>46577</x:v>
      </x:c>
      <x:c r="E48" s="38" t="n">
        <x:v>800</x:v>
      </x:c>
      <x:c r="F48" s="13" t="n">
        <x:f>IF($A48="","",SUMIFS('5 Žaliavų perdavimai'!$E$4:$E$203,'5 Žaliavų perdavimai'!$D$4:$D$203,$B48))</x:f>
        <x:v>0</x:v>
      </x:c>
      <x:c r="G48" s="38" t="n">
        <x:v>800</x:v>
      </x:c>
      <x:c r="H48" s="38" t="n">
        <x:f t="shared" si="3"/>
        <x:v>0</x:v>
      </x:c>
      <x:c r="I48">
        <x:f t="shared" ca="1" si="4"/>
        <x:v>289</x:v>
      </x:c>
      <x:c r="J48" t="str">
        <x:f t="shared" ca="1" si="5"/>
        <x:v>OK</x:v>
      </x:c>
    </x:row>
    <x:row r="49">
      <x:c r="A49" t="str">
        <x:f>IF('1 Žaliavų gavimas'!B49="","",'1 Žaliavų gavimas'!B49)</x:f>
        <x:v>Ciberžolė</x:v>
      </x:c>
      <x:c r="B49" t="str">
        <x:f>IF($A49="","",'1 Žaliavų gavimas'!D49)</x:f>
        <x:v>Cib0805</x:v>
      </x:c>
      <x:c r="C49" s="12" t="n">
        <x:f>IF($A49="","",'1 Žaliavų gavimas'!A49)</x:f>
        <x:v>46239</x:v>
      </x:c>
      <x:c r="D49" s="12" t="n">
        <x:f>IF($A49="","",'1 Žaliavų gavimas'!G49)</x:f>
        <x:v>46895</x:v>
      </x:c>
      <x:c r="E49" s="38" t="n">
        <x:v>25</x:v>
      </x:c>
      <x:c r="F49" s="13" t="n">
        <x:f>IF($A49="","",SUMIFS('5 Žaliavų perdavimai'!$E$4:$E$203,'5 Žaliavų perdavimai'!$D$4:$D$203,$B49))</x:f>
        <x:v>0</x:v>
      </x:c>
      <x:c r="G49" s="38" t="n">
        <x:v>16.569546014</x:v>
      </x:c>
      <x:c r="H49" s="38" t="n">
        <x:f t="shared" si="3"/>
        <x:v>8.430453986</x:v>
      </x:c>
      <x:c r="I49">
        <x:f t="shared" ca="1" si="4"/>
        <x:v>607</x:v>
      </x:c>
      <x:c r="J49" t="str">
        <x:f t="shared" ca="1" si="5"/>
        <x:v>OK</x:v>
      </x:c>
    </x:row>
    <x:row r="50">
      <x:c r="A50" t="str">
        <x:f>IF('1 Žaliavų gavimas'!B50="","",'1 Žaliavų gavimas'!B50)</x:f>
        <x:v>Pienas</x:v>
      </x:c>
      <x:c r="B50" t="str">
        <x:f>IF($A50="","",'1 Žaliavų gavimas'!D50)</x:f>
        <x:v>P0810</x:v>
      </x:c>
      <x:c r="C50" s="12" t="n">
        <x:f>IF($A50="","",'1 Žaliavų gavimas'!A50)</x:f>
        <x:v>46244</x:v>
      </x:c>
      <x:c r="D50" s="12" t="n">
        <x:f>IF($A50="","",'1 Žaliavų gavimas'!G50)</x:f>
        <x:v>46248</x:v>
      </x:c>
      <x:c r="E50" s="38" t="n">
        <x:v>100</x:v>
      </x:c>
      <x:c r="F50" s="13" t="n">
        <x:f>IF($A50="","",SUMIFS('5 Žaliavų perdavimai'!$E$4:$E$203,'5 Žaliavų perdavimai'!$D$4:$D$203,$B50))</x:f>
        <x:v>0</x:v>
      </x:c>
      <x:c r="G50" s="38" t="n">
        <x:v>100</x:v>
      </x:c>
      <x:c r="H50" s="38" t="n">
        <x:f t="shared" si="3"/>
        <x:v>0</x:v>
      </x:c>
      <x:c r="I50">
        <x:f t="shared" ca="1" si="4"/>
        <x:v>-40</x:v>
      </x:c>
      <x:c r="J50" t="str">
        <x:f t="shared" ca="1" si="5"/>
        <x:v>PASIBAIGĘS</x:v>
      </x:c>
    </x:row>
    <x:row r="51">
      <x:c r="A51" t="str">
        <x:f>IF('1 Žaliavų gavimas'!B51="","",'1 Žaliavų gavimas'!B51)</x:f>
        <x:v>Kiaušiniai</x:v>
      </x:c>
      <x:c r="B51" t="str">
        <x:f>IF($A51="","",'1 Žaliavų gavimas'!D51)</x:f>
        <x:v>K0810</x:v>
      </x:c>
      <x:c r="C51" s="12" t="n">
        <x:f>IF($A51="","",'1 Žaliavų gavimas'!A51)</x:f>
        <x:v>46244</x:v>
      </x:c>
      <x:c r="D51" s="12" t="n">
        <x:f>IF($A51="","",'1 Žaliavų gavimas'!G51)</x:f>
        <x:v>46264</x:v>
      </x:c>
      <x:c r="E51" s="38" t="n">
        <x:v>1944</x:v>
      </x:c>
      <x:c r="F51" s="13" t="n">
        <x:f>IF($A51="","",SUMIFS('5 Žaliavų perdavimai'!$E$4:$E$203,'5 Žaliavų perdavimai'!$D$4:$D$203,$B51))</x:f>
        <x:v>0</x:v>
      </x:c>
      <x:c r="G51" s="38" t="n">
        <x:v>1485.6040005599996</x:v>
      </x:c>
      <x:c r="H51" s="38" t="n">
        <x:f t="shared" si="3"/>
        <x:v>458.3959994400004</x:v>
      </x:c>
      <x:c r="I51">
        <x:f t="shared" ca="1" si="4"/>
        <x:v>-24</x:v>
      </x:c>
      <x:c r="J51" t="str">
        <x:f t="shared" ca="1" si="5"/>
        <x:v>PASIBAIGĘS</x:v>
      </x:c>
    </x:row>
    <x:row r="52">
      <x:c r="A52" t="str">
        <x:f>IF('1 Žaliavų gavimas'!B52="","",'1 Žaliavų gavimas'!B52)</x:f>
        <x:v>Grietinės mišinys</x:v>
      </x:c>
      <x:c r="B52" t="str">
        <x:f>IF($A52="","",'1 Žaliavų gavimas'!D52)</x:f>
        <x:v>Gr0810</x:v>
      </x:c>
      <x:c r="C52" s="12" t="n">
        <x:f>IF($A52="","",'1 Žaliavų gavimas'!A52)</x:f>
        <x:v>46244</x:v>
      </x:c>
      <x:c r="D52" s="12" t="n">
        <x:f>IF($A52="","",'1 Žaliavų gavimas'!G52)</x:f>
        <x:v>46251</x:v>
      </x:c>
      <x:c r="E52" s="38" t="n">
        <x:v>150</x:v>
      </x:c>
      <x:c r="F52" s="13" t="n">
        <x:f>IF($A52="","",SUMIFS('5 Žaliavų perdavimai'!$E$4:$E$203,'5 Žaliavų perdavimai'!$D$4:$D$203,$B52))</x:f>
        <x:v>0</x:v>
      </x:c>
      <x:c r="G52" s="38" t="n">
        <x:v>150</x:v>
      </x:c>
      <x:c r="H52" s="38" t="n">
        <x:f t="shared" si="3"/>
        <x:v>0</x:v>
      </x:c>
      <x:c r="I52">
        <x:f t="shared" ca="1" si="4"/>
        <x:v>-37</x:v>
      </x:c>
      <x:c r="J52" t="str">
        <x:f t="shared" ca="1" si="5"/>
        <x:v>PASIBAIGĘS</x:v>
      </x:c>
    </x:row>
    <x:row r="53">
      <x:c r="A53" t="str">
        <x:f>IF('1 Žaliavų gavimas'!B53="","",'1 Žaliavų gavimas'!B53)</x:f>
        <x:v>Grietinės mišinys</x:v>
      </x:c>
      <x:c r="B53" t="str">
        <x:f>IF($A53="","",'1 Žaliavų gavimas'!D53)</x:f>
        <x:v>Gr0812</x:v>
      </x:c>
      <x:c r="C53" s="12" t="n">
        <x:f>IF($A53="","",'1 Žaliavų gavimas'!A53)</x:f>
        <x:v>46246</x:v>
      </x:c>
      <x:c r="D53" s="12" t="n">
        <x:f>IF($A53="","",'1 Žaliavų gavimas'!G53)</x:f>
        <x:v>46255</x:v>
      </x:c>
      <x:c r="E53" s="38" t="n">
        <x:v>150</x:v>
      </x:c>
      <x:c r="F53" s="13" t="n">
        <x:f>IF($A53="","",SUMIFS('5 Žaliavų perdavimai'!$E$4:$E$203,'5 Žaliavų perdavimai'!$D$4:$D$203,$B53))</x:f>
        <x:v>0</x:v>
      </x:c>
      <x:c r="G53" s="38" t="n">
        <x:v>150</x:v>
      </x:c>
      <x:c r="H53" s="38" t="n">
        <x:f t="shared" si="3"/>
        <x:v>0</x:v>
      </x:c>
      <x:c r="I53">
        <x:f t="shared" ca="1" si="4"/>
        <x:v>-33</x:v>
      </x:c>
      <x:c r="J53" t="str">
        <x:f t="shared" ca="1" si="5"/>
        <x:v>PASIBAIGĘS</x:v>
      </x:c>
    </x:row>
    <x:row r="54">
      <x:c r="A54" t="str">
        <x:f>IF('1 Žaliavų gavimas'!B54="","",'1 Žaliavų gavimas'!B54)</x:f>
        <x:v>Pienas</x:v>
      </x:c>
      <x:c r="B54" t="str">
        <x:f>IF($A54="","",'1 Žaliavų gavimas'!D54)</x:f>
        <x:v>P0812</x:v>
      </x:c>
      <x:c r="C54" s="12" t="n">
        <x:f>IF($A54="","",'1 Žaliavų gavimas'!A54)</x:f>
        <x:v>46246</x:v>
      </x:c>
      <x:c r="D54" s="12" t="n">
        <x:f>IF($A54="","",'1 Žaliavų gavimas'!G54)</x:f>
        <x:v>46252</x:v>
      </x:c>
      <x:c r="E54" s="38" t="n">
        <x:v>250</x:v>
      </x:c>
      <x:c r="F54" s="13" t="n">
        <x:f>IF($A54="","",SUMIFS('5 Žaliavų perdavimai'!$E$4:$E$203,'5 Žaliavų perdavimai'!$D$4:$D$203,$B54))</x:f>
        <x:v>0</x:v>
      </x:c>
      <x:c r="G54" s="38" t="n">
        <x:v>140.34988794400002</x:v>
      </x:c>
      <x:c r="H54" s="38" t="n">
        <x:f t="shared" si="3"/>
        <x:v>109.65011205599998</x:v>
      </x:c>
      <x:c r="I54">
        <x:f t="shared" ca="1" si="4"/>
        <x:v>-36</x:v>
      </x:c>
      <x:c r="J54" t="str">
        <x:f t="shared" ca="1" si="5"/>
        <x:v>PASIBAIGĘS</x:v>
      </x:c>
    </x:row>
    <x:row r="55">
      <x:c r="A55" t="str">
        <x:f>IF('1 Žaliavų gavimas'!B55="","",'1 Žaliavų gavimas'!B55)</x:f>
        <x:v>Cukrus</x:v>
      </x:c>
      <x:c r="B55" t="str">
        <x:f>IF($A55="","",'1 Žaliavų gavimas'!D55)</x:f>
        <x:v>Cuk0812</x:v>
      </x:c>
      <x:c r="C55" s="12" t="n">
        <x:f>IF($A55="","",'1 Žaliavų gavimas'!A55)</x:f>
        <x:v>46246</x:v>
      </x:c>
      <x:c r="D55" s="12" t="n">
        <x:f>IF($A55="","",'1 Žaliavų gavimas'!G55)</x:f>
        <x:v>46388</x:v>
      </x:c>
      <x:c r="E55" s="38" t="n">
        <x:v>800</x:v>
      </x:c>
      <x:c r="F55" s="13" t="n">
        <x:f>IF($A55="","",SUMIFS('5 Žaliavų perdavimai'!$E$4:$E$203,'5 Žaliavų perdavimai'!$D$4:$D$203,$B55))</x:f>
        <x:v>0</x:v>
      </x:c>
      <x:c r="G55" s="38" t="n">
        <x:v>800</x:v>
      </x:c>
      <x:c r="H55" s="38" t="n">
        <x:f t="shared" si="3"/>
        <x:v>0</x:v>
      </x:c>
      <x:c r="I55">
        <x:f t="shared" ca="1" si="4"/>
        <x:v>100</x:v>
      </x:c>
      <x:c r="J55" t="str">
        <x:f t="shared" ca="1" si="5"/>
        <x:v>OK</x:v>
      </x:c>
    </x:row>
    <x:row r="56">
      <x:c r="A56" t="str">
        <x:f>IF('1 Žaliavų gavimas'!B56="","",'1 Žaliavų gavimas'!B56)</x:f>
        <x:v>Miltai</x:v>
      </x:c>
      <x:c r="B56" t="str">
        <x:f>IF($A56="","",'1 Žaliavų gavimas'!D56)</x:f>
        <x:v>Mil0812</x:v>
      </x:c>
      <x:c r="C56" s="12" t="n">
        <x:f>IF($A56="","",'1 Žaliavų gavimas'!A56)</x:f>
        <x:v>46246</x:v>
      </x:c>
      <x:c r="D56" s="12" t="n">
        <x:f>IF($A56="","",'1 Žaliavų gavimas'!G56)</x:f>
        <x:v>46589</x:v>
      </x:c>
      <x:c r="E56" s="38" t="n">
        <x:v>800</x:v>
      </x:c>
      <x:c r="F56" s="13" t="n">
        <x:f>IF($A56="","",SUMIFS('5 Žaliavų perdavimai'!$E$4:$E$203,'5 Žaliavų perdavimai'!$D$4:$D$203,$B56))</x:f>
        <x:v>0</x:v>
      </x:c>
      <x:c r="G56" s="38" t="n">
        <x:v>800</x:v>
      </x:c>
      <x:c r="H56" s="38" t="n">
        <x:f t="shared" si="3"/>
        <x:v>0</x:v>
      </x:c>
      <x:c r="I56">
        <x:f t="shared" ca="1" si="4"/>
        <x:v>301</x:v>
      </x:c>
      <x:c r="J56" t="str">
        <x:f t="shared" ca="1" si="5"/>
        <x:v>OK</x:v>
      </x:c>
    </x:row>
    <x:row r="57">
      <x:c r="A57" t="str">
        <x:f>IF('1 Žaliavų gavimas'!B57="","",'1 Žaliavų gavimas'!B57)</x:f>
        <x:v>Pienas</x:v>
      </x:c>
      <x:c r="B57" t="str">
        <x:f>IF($A57="","",'1 Žaliavų gavimas'!D57)</x:f>
        <x:v>P0817</x:v>
      </x:c>
      <x:c r="C57" s="12" t="n">
        <x:f>IF($A57="","",'1 Žaliavų gavimas'!A57)</x:f>
        <x:v>46251</x:v>
      </x:c>
      <x:c r="D57" s="12" t="n">
        <x:f>IF($A57="","",'1 Žaliavų gavimas'!G57)</x:f>
        <x:v>46255</x:v>
      </x:c>
      <x:c r="E57" s="38" t="n">
        <x:v>50</x:v>
      </x:c>
      <x:c r="F57" s="13" t="n">
        <x:f>IF($A57="","",SUMIFS('5 Žaliavų perdavimai'!$E$4:$E$203,'5 Žaliavų perdavimai'!$D$4:$D$203,$B57))</x:f>
        <x:v>0</x:v>
      </x:c>
      <x:c r="G57" s="38" t="n">
        <x:v>50</x:v>
      </x:c>
      <x:c r="H57" s="38" t="n">
        <x:f t="shared" si="3"/>
        <x:v>0</x:v>
      </x:c>
      <x:c r="I57">
        <x:f t="shared" ca="1" si="4"/>
        <x:v>-33</x:v>
      </x:c>
      <x:c r="J57" t="str">
        <x:f t="shared" ca="1" si="5"/>
        <x:v>PASIBAIGĘS</x:v>
      </x:c>
    </x:row>
    <x:row r="58">
      <x:c r="A58" t="str">
        <x:f>IF('1 Žaliavų gavimas'!B58="","",'1 Žaliavų gavimas'!B58)</x:f>
        <x:v>Grietinės mišinys</x:v>
      </x:c>
      <x:c r="B58" t="str">
        <x:f>IF($A58="","",'1 Žaliavų gavimas'!D58)</x:f>
        <x:v>Gr0817</x:v>
      </x:c>
      <x:c r="C58" s="12" t="n">
        <x:f>IF($A58="","",'1 Žaliavų gavimas'!A58)</x:f>
        <x:v>46251</x:v>
      </x:c>
      <x:c r="D58" s="12" t="n">
        <x:f>IF($A58="","",'1 Žaliavų gavimas'!G58)</x:f>
        <x:v>46258</x:v>
      </x:c>
      <x:c r="E58" s="38" t="n">
        <x:v>150</x:v>
      </x:c>
      <x:c r="F58" s="13" t="n">
        <x:f>IF($A58="","",SUMIFS('5 Žaliavų perdavimai'!$E$4:$E$203,'5 Žaliavų perdavimai'!$D$4:$D$203,$B58))</x:f>
        <x:v>0</x:v>
      </x:c>
      <x:c r="G58" s="38" t="n">
        <x:v>111.59994072</x:v>
      </x:c>
      <x:c r="H58" s="38" t="n">
        <x:f t="shared" si="3"/>
        <x:v>38.400059279999994</x:v>
      </x:c>
      <x:c r="I58">
        <x:f t="shared" ca="1" si="4"/>
        <x:v>-30</x:v>
      </x:c>
      <x:c r="J58" t="str">
        <x:f t="shared" ca="1" si="5"/>
        <x:v>PASIBAIGĘS</x:v>
      </x:c>
    </x:row>
    <x:row r="59">
      <x:c r="A59" t="str">
        <x:f>IF('1 Žaliavų gavimas'!B59="","",'1 Žaliavų gavimas'!B59)</x:f>
        <x:v>Pienas</x:v>
      </x:c>
      <x:c r="B59" t="str">
        <x:f>IF($A59="","",'1 Žaliavų gavimas'!D59)</x:f>
        <x:v>P0819</x:v>
      </x:c>
      <x:c r="C59" s="12" t="n">
        <x:f>IF($A59="","",'1 Žaliavų gavimas'!A59)</x:f>
        <x:v>46253</x:v>
      </x:c>
      <x:c r="D59" s="12" t="n">
        <x:f>IF($A59="","",'1 Žaliavų gavimas'!G59)</x:f>
        <x:v>46259</x:v>
      </x:c>
      <x:c r="E59" s="38" t="n">
        <x:v>150</x:v>
      </x:c>
      <x:c r="F59" s="13" t="n">
        <x:f>IF($A59="","",SUMIFS('5 Žaliavų perdavimai'!$E$4:$E$203,'5 Žaliavų perdavimai'!$D$4:$D$203,$B59))</x:f>
        <x:v>0</x:v>
      </x:c>
      <x:c r="G59" s="38" t="n">
        <x:v>93.849976984</x:v>
      </x:c>
      <x:c r="H59" s="38" t="n">
        <x:f t="shared" si="3"/>
        <x:v>56.150023016000006</x:v>
      </x:c>
      <x:c r="I59">
        <x:f t="shared" ca="1" si="4"/>
        <x:v>-29</x:v>
      </x:c>
      <x:c r="J59" t="str">
        <x:f t="shared" ca="1" si="5"/>
        <x:v>PASIBAIGĘS</x:v>
      </x:c>
    </x:row>
    <x:row r="60">
      <x:c r="A60" t="str">
        <x:f>IF('1 Žaliavų gavimas'!B60="","",'1 Žaliavų gavimas'!B60)</x:f>
        <x:v>Miltai</x:v>
      </x:c>
      <x:c r="B60" t="str">
        <x:f>IF($A60="","",'1 Žaliavų gavimas'!D60)</x:f>
        <x:v>Mil0819</x:v>
      </x:c>
      <x:c r="C60" s="12" t="n">
        <x:f>IF($A60="","",'1 Žaliavų gavimas'!A60)</x:f>
        <x:v>46253</x:v>
      </x:c>
      <x:c r="D60" s="12" t="n">
        <x:f>IF($A60="","",'1 Žaliavų gavimas'!G60)</x:f>
        <x:v>46602</x:v>
      </x:c>
      <x:c r="E60" s="38" t="n">
        <x:v>800</x:v>
      </x:c>
      <x:c r="F60" s="13" t="n">
        <x:f>IF($A60="","",SUMIFS('5 Žaliavų perdavimai'!$E$4:$E$203,'5 Žaliavų perdavimai'!$D$4:$D$203,$B60))</x:f>
        <x:v>0</x:v>
      </x:c>
      <x:c r="G60" s="38" t="n">
        <x:v>800</x:v>
      </x:c>
      <x:c r="H60" s="38" t="n">
        <x:f t="shared" si="3"/>
        <x:v>0</x:v>
      </x:c>
      <x:c r="I60">
        <x:f t="shared" ca="1" si="4"/>
        <x:v>314</x:v>
      </x:c>
      <x:c r="J60" t="str">
        <x:f t="shared" ca="1" si="5"/>
        <x:v>OK</x:v>
      </x:c>
    </x:row>
    <x:row r="61">
      <x:c r="A61" t="str">
        <x:f>IF('1 Žaliavų gavimas'!B61="","",'1 Žaliavų gavimas'!B61)</x:f>
        <x:v>Cukrus</x:v>
      </x:c>
      <x:c r="B61" t="str">
        <x:f>IF($A61="","",'1 Žaliavų gavimas'!D61)</x:f>
        <x:v>Cuk0819</x:v>
      </x:c>
      <x:c r="C61" s="12" t="n">
        <x:f>IF($A61="","",'1 Žaliavų gavimas'!A61)</x:f>
        <x:v>46253</x:v>
      </x:c>
      <x:c r="D61" s="12" t="n">
        <x:f>IF($A61="","",'1 Žaliavų gavimas'!G61)</x:f>
        <x:v>46388</x:v>
      </x:c>
      <x:c r="E61" s="38" t="n">
        <x:v>800</x:v>
      </x:c>
      <x:c r="F61" s="13" t="n">
        <x:f>IF($A61="","",SUMIFS('5 Žaliavų perdavimai'!$E$4:$E$203,'5 Žaliavų perdavimai'!$D$4:$D$203,$B61))</x:f>
        <x:v>0</x:v>
      </x:c>
      <x:c r="G61" s="38" t="n">
        <x:v>39.15123455200019</x:v>
      </x:c>
      <x:c r="H61" s="38" t="n">
        <x:f t="shared" si="3"/>
        <x:v>760.8487654479998</x:v>
      </x:c>
      <x:c r="I61">
        <x:f t="shared" ca="1" si="4"/>
        <x:v>100</x:v>
      </x:c>
      <x:c r="J61" t="str">
        <x:f t="shared" ca="1" si="5"/>
        <x:v>OK</x:v>
      </x:c>
    </x:row>
    <x:row r="62">
      <x:c r="A62" t="str">
        <x:f>IF('1 Žaliavų gavimas'!B62="","",'1 Žaliavų gavimas'!B62)</x:f>
        <x:v>Margarinas trapiam "IEVA"</x:v>
      </x:c>
      <x:c r="B62" t="str">
        <x:f>IF($A62="","",'1 Žaliavų gavimas'!D62)</x:f>
        <x:v>MarI0820</x:v>
      </x:c>
      <x:c r="C62" s="12" t="n">
        <x:f>IF($A62="","",'1 Žaliavų gavimas'!A62)</x:f>
        <x:v>46254</x:v>
      </x:c>
      <x:c r="D62" s="12" t="n">
        <x:f>IF($A62="","",'1 Žaliavų gavimas'!G62)</x:f>
        <x:v>46401</x:v>
      </x:c>
      <x:c r="E62" s="38" t="n">
        <x:v>900</x:v>
      </x:c>
      <x:c r="F62" s="13" t="n">
        <x:f>IF($A62="","",SUMIFS('5 Žaliavų perdavimai'!$E$4:$E$203,'5 Žaliavų perdavimai'!$D$4:$D$203,$B62))</x:f>
        <x:v>0</x:v>
      </x:c>
      <x:c r="G62" s="38" t="n">
        <x:v>0</x:v>
      </x:c>
      <x:c r="H62" s="38" t="n">
        <x:f t="shared" si="3"/>
        <x:v>900</x:v>
      </x:c>
      <x:c r="I62">
        <x:f t="shared" ca="1" si="4"/>
        <x:v>113</x:v>
      </x:c>
      <x:c r="J62" t="str">
        <x:f t="shared" ca="1" si="5"/>
        <x:v>OK</x:v>
      </x:c>
    </x:row>
    <x:row r="63">
      <x:c r="A63" t="str">
        <x:f>IF('1 Žaliavų gavimas'!B63="","",'1 Žaliavų gavimas'!B63)</x:f>
        <x:v>Kiaušiniai</x:v>
      </x:c>
      <x:c r="B63" t="str">
        <x:f>IF($A63="","",'1 Žaliavų gavimas'!D63)</x:f>
        <x:v>K0820</x:v>
      </x:c>
      <x:c r="C63" s="12" t="n">
        <x:f>IF($A63="","",'1 Žaliavų gavimas'!A63)</x:f>
        <x:v>46254</x:v>
      </x:c>
      <x:c r="D63" s="12" t="n">
        <x:f>IF($A63="","",'1 Žaliavų gavimas'!G63)</x:f>
        <x:v>46273</x:v>
      </x:c>
      <x:c r="E63" s="38" t="n">
        <x:v>1944</x:v>
      </x:c>
      <x:c r="F63" s="13" t="n">
        <x:f>IF($A63="","",SUMIFS('5 Žaliavų perdavimai'!$E$4:$E$203,'5 Žaliavų perdavimai'!$D$4:$D$203,$B63))</x:f>
        <x:v>0</x:v>
      </x:c>
      <x:c r="G63" s="38" t="n">
        <x:v>235.64985135999996</x:v>
      </x:c>
      <x:c r="H63" s="38" t="n">
        <x:f t="shared" si="3"/>
        <x:v>1708.35014864</x:v>
      </x:c>
      <x:c r="I63">
        <x:f t="shared" ca="1" si="4"/>
        <x:v>-15</x:v>
      </x:c>
      <x:c r="J63" t="str">
        <x:f t="shared" ca="1" si="5"/>
        <x:v>PASIBAIGĘS</x:v>
      </x:c>
    </x:row>
    <x:row r="64">
      <x:c r="A64" t="str">
        <x:f>IF('1 Žaliavų gavimas'!B64="","",'1 Žaliavų gavimas'!B64)</x:f>
        <x:v>Sviestas</x:v>
      </x:c>
      <x:c r="B64" t="str">
        <x:f>IF($A64="","",'1 Žaliavų gavimas'!D64)</x:f>
        <x:v>Sv0824</x:v>
      </x:c>
      <x:c r="C64" s="12" t="n">
        <x:f>IF($A64="","",'1 Žaliavų gavimas'!A64)</x:f>
        <x:v>46258</x:v>
      </x:c>
      <x:c r="D64" s="12" t="n">
        <x:f>IF($A64="","",'1 Žaliavų gavimas'!G64)</x:f>
        <x:v>46392</x:v>
      </x:c>
      <x:c r="E64" s="38" t="n">
        <x:v>800</x:v>
      </x:c>
      <x:c r="F64" s="13" t="n">
        <x:f>IF($A64="","",SUMIFS('5 Žaliavų perdavimai'!$E$4:$E$203,'5 Žaliavų perdavimai'!$D$4:$D$203,$B64))</x:f>
        <x:v>0</x:v>
      </x:c>
      <x:c r="G64" s="38" t="n">
        <x:v>0</x:v>
      </x:c>
      <x:c r="H64" s="38" t="n">
        <x:f t="shared" si="3"/>
        <x:v>800</x:v>
      </x:c>
      <x:c r="I64">
        <x:f t="shared" ca="1" si="4"/>
        <x:v>104</x:v>
      </x:c>
      <x:c r="J64" t="str">
        <x:f t="shared" ca="1" si="5"/>
        <x:v>OK</x:v>
      </x:c>
    </x:row>
    <x:row r="65">
      <x:c r="A65" t="str">
        <x:f>IF('1 Žaliavų gavimas'!B65="","",'1 Žaliavų gavimas'!B65)</x:f>
        <x:v>Pienas</x:v>
      </x:c>
      <x:c r="B65" t="str">
        <x:f>IF($A65="","",'1 Žaliavų gavimas'!D65)</x:f>
        <x:v>P0824</x:v>
      </x:c>
      <x:c r="C65" s="12" t="n">
        <x:f>IF($A65="","",'1 Žaliavų gavimas'!A65)</x:f>
        <x:v>46258</x:v>
      </x:c>
      <x:c r="D65" s="12" t="n">
        <x:f>IF($A65="","",'1 Žaliavų gavimas'!G65)</x:f>
        <x:v>46262</x:v>
      </x:c>
      <x:c r="E65" s="38" t="n">
        <x:v>100</x:v>
      </x:c>
      <x:c r="F65" s="13" t="n">
        <x:f>IF($A65="","",SUMIFS('5 Žaliavų perdavimai'!$E$4:$E$203,'5 Žaliavų perdavimai'!$D$4:$D$203,$B65))</x:f>
        <x:v>0</x:v>
      </x:c>
      <x:c r="G65" s="38" t="n">
        <x:v>100</x:v>
      </x:c>
      <x:c r="H65" s="38" t="n">
        <x:f t="shared" si="3"/>
        <x:v>0</x:v>
      </x:c>
      <x:c r="I65">
        <x:f t="shared" ca="1" si="4"/>
        <x:v>-26</x:v>
      </x:c>
      <x:c r="J65" t="str">
        <x:f t="shared" ca="1" si="5"/>
        <x:v>PASIBAIGĘS</x:v>
      </x:c>
    </x:row>
    <x:row r="66">
      <x:c r="A66" t="str">
        <x:f>IF('1 Žaliavų gavimas'!B66="","",'1 Žaliavų gavimas'!B66)</x:f>
        <x:v>Grietinės mišinys</x:v>
      </x:c>
      <x:c r="B66" t="str">
        <x:f>IF($A66="","",'1 Žaliavų gavimas'!D66)</x:f>
        <x:v>Gr0824</x:v>
      </x:c>
      <x:c r="C66" s="12" t="n">
        <x:f>IF($A66="","",'1 Žaliavų gavimas'!A66)</x:f>
        <x:v>46258</x:v>
      </x:c>
      <x:c r="D66" s="12" t="n">
        <x:f>IF($A66="","",'1 Žaliavų gavimas'!G66)</x:f>
        <x:v>46265</x:v>
      </x:c>
      <x:c r="E66" s="38" t="n">
        <x:v>150</x:v>
      </x:c>
      <x:c r="F66" s="13" t="n">
        <x:f>IF($A66="","",SUMIFS('5 Žaliavų perdavimai'!$E$4:$E$203,'5 Žaliavų perdavimai'!$D$4:$D$203,$B66))</x:f>
        <x:v>0</x:v>
      </x:c>
      <x:c r="G66" s="38" t="n">
        <x:v>150</x:v>
      </x:c>
      <x:c r="H66" s="38" t="n">
        <x:f t="shared" si="3"/>
        <x:v>0</x:v>
      </x:c>
      <x:c r="I66">
        <x:f t="shared" ca="1" si="4"/>
        <x:v>-23</x:v>
      </x:c>
      <x:c r="J66" t="str">
        <x:f t="shared" ca="1" si="5"/>
        <x:v>PASIBAIGĘS</x:v>
      </x:c>
    </x:row>
    <x:row r="67">
      <x:c r="A67" t="str">
        <x:f>IF('1 Žaliavų gavimas'!B67="","",'1 Žaliavų gavimas'!B67)</x:f>
        <x:v>Pienas</x:v>
      </x:c>
      <x:c r="B67" t="str">
        <x:f>IF($A67="","",'1 Žaliavų gavimas'!D67)</x:f>
        <x:v>P0826</x:v>
      </x:c>
      <x:c r="C67" s="12" t="n">
        <x:f>IF($A67="","",'1 Žaliavų gavimas'!A67)</x:f>
        <x:v>46260</x:v>
      </x:c>
      <x:c r="D67" s="12" t="n">
        <x:f>IF($A67="","",'1 Žaliavų gavimas'!G67)</x:f>
        <x:v>46266</x:v>
      </x:c>
      <x:c r="E67" s="38" t="n">
        <x:v>50</x:v>
      </x:c>
      <x:c r="F67" s="13" t="n">
        <x:f>IF($A67="","",SUMIFS('5 Žaliavų perdavimai'!$E$4:$E$203,'5 Žaliavų perdavimai'!$D$4:$D$203,$B67))</x:f>
        <x:v>0</x:v>
      </x:c>
      <x:c r="G67" s="38" t="n">
        <x:v>50</x:v>
      </x:c>
      <x:c r="H67" s="38" t="n">
        <x:f t="shared" si="3"/>
        <x:v>0</x:v>
      </x:c>
      <x:c r="I67">
        <x:f t="shared" ca="1" si="4"/>
        <x:v>-22</x:v>
      </x:c>
      <x:c r="J67" t="str">
        <x:f t="shared" ca="1" si="5"/>
        <x:v>PASIBAIGĘS</x:v>
      </x:c>
    </x:row>
    <x:row r="68">
      <x:c r="A68" t="str">
        <x:f>IF('1 Žaliavų gavimas'!B68="","",'1 Žaliavų gavimas'!B68)</x:f>
        <x:v>Cukrus</x:v>
      </x:c>
      <x:c r="B68" t="str">
        <x:f>IF($A68="","",'1 Žaliavų gavimas'!D68)</x:f>
        <x:v>Cuk0826</x:v>
      </x:c>
      <x:c r="C68" s="12" t="n">
        <x:f>IF($A68="","",'1 Žaliavų gavimas'!A68)</x:f>
        <x:v>46260</x:v>
      </x:c>
      <x:c r="D68" s="12" t="n">
        <x:f>IF($A68="","",'1 Žaliavų gavimas'!G68)</x:f>
        <x:v>46388</x:v>
      </x:c>
      <x:c r="E68" s="38" t="n">
        <x:v>800</x:v>
      </x:c>
      <x:c r="F68" s="13" t="n">
        <x:f>IF($A68="","",SUMIFS('5 Žaliavų perdavimai'!$E$4:$E$203,'5 Žaliavų perdavimai'!$D$4:$D$203,$B68))</x:f>
        <x:v>0</x:v>
      </x:c>
      <x:c r="G68" s="38" t="n">
        <x:v>0</x:v>
      </x:c>
      <x:c r="H68" s="38" t="n">
        <x:f t="shared" ref="H68:H99" si="6">IF($A68="","",$E68-$F68-$G68)</x:f>
        <x:v>800</x:v>
      </x:c>
      <x:c r="I68" t="n">
        <x:f t="shared" ref="I68:I99" ca="1" si="7">IF(OR($A68="",$D68=""),"",$D68-TODAY())</x:f>
        <x:v>99</x:v>
      </x:c>
      <x:c r="J68" t="str">
        <x:f t="shared" ref="J68:J99" ca="1" si="8">IF($A68="","",IF($H68&lt;-0.001,"KONFLIKTAS – VIRŠYTAS LIKUTIS",IF($H68&lt;=0.001,"IŠNAUDOTA",IF($D68="","GALIOJIMAS NENURODYTAS",IF($D68&lt;TODAY(),"PASIBAIGĘS",IF($D68&lt;=TODAY()+3,"BAIGIASI ≤3 D.",IF($D68&lt;=TODAY()+7,"BAIGIASI ≤7 D.","OK")))))))</x:f>
        <x:v>OK</x:v>
      </x:c>
    </x:row>
    <x:row r="69">
      <x:c r="A69" t="str">
        <x:f>IF('1 Žaliavų gavimas'!B69="","",'1 Žaliavų gavimas'!B69)</x:f>
        <x:v>Miltai</x:v>
      </x:c>
      <x:c r="B69" t="str">
        <x:f>IF($A69="","",'1 Žaliavų gavimas'!D69)</x:f>
        <x:v>Mil0826</x:v>
      </x:c>
      <x:c r="C69" s="12" t="n">
        <x:f>IF($A69="","",'1 Žaliavų gavimas'!A69)</x:f>
        <x:v>46260</x:v>
      </x:c>
      <x:c r="D69" s="12" t="n">
        <x:f>IF($A69="","",'1 Žaliavų gavimas'!G69)</x:f>
        <x:v>46605</x:v>
      </x:c>
      <x:c r="E69" s="38" t="n">
        <x:v>1600</x:v>
      </x:c>
      <x:c r="F69" s="13" t="n">
        <x:f>IF($A69="","",SUMIFS('5 Žaliavų perdavimai'!$E$4:$E$203,'5 Žaliavų perdavimai'!$D$4:$D$203,$B69))</x:f>
        <x:v>0</x:v>
      </x:c>
      <x:c r="G69" s="38" t="n">
        <x:v>132.46820656000068</x:v>
      </x:c>
      <x:c r="H69" s="38" t="n">
        <x:f t="shared" si="6"/>
        <x:v>1467.5317934399993</x:v>
      </x:c>
      <x:c r="I69">
        <x:f t="shared" ca="1" si="7"/>
        <x:v>317</x:v>
      </x:c>
      <x:c r="J69" t="str">
        <x:f t="shared" ca="1" si="8"/>
        <x:v>OK</x:v>
      </x:c>
    </x:row>
    <x:row r="70">
      <x:c r="A70" t="str">
        <x:f>IF('1 Žaliavų gavimas'!B70="","",'1 Žaliavų gavimas'!B70)</x:f>
        <x:v>Pienas</x:v>
      </x:c>
      <x:c r="B70" t="str">
        <x:f>IF($A70="","",'1 Žaliavų gavimas'!D70)</x:f>
        <x:v>P0831</x:v>
      </x:c>
      <x:c r="C70" s="12" t="n">
        <x:f>IF($A70="","",'1 Žaliavų gavimas'!A70)</x:f>
        <x:v>46265</x:v>
      </x:c>
      <x:c r="D70" s="12" t="n">
        <x:f>IF($A70="","",'1 Žaliavų gavimas'!G70)</x:f>
        <x:v>46269</x:v>
      </x:c>
      <x:c r="E70" s="38" t="n">
        <x:v>193</x:v>
      </x:c>
      <x:c r="F70" s="13" t="n">
        <x:f>IF($A70="","",SUMIFS('5 Žaliavų perdavimai'!$E$4:$E$203,'5 Žaliavų perdavimai'!$D$4:$D$203,$B70))</x:f>
        <x:v>0</x:v>
      </x:c>
      <x:c r="G70" s="38" t="n">
        <x:v>7.979056356000001</x:v>
      </x:c>
      <x:c r="H70" s="38" t="n">
        <x:f t="shared" si="6"/>
        <x:v>185.020943644</x:v>
      </x:c>
      <x:c r="I70">
        <x:f t="shared" ca="1" si="7"/>
        <x:v>-19</x:v>
      </x:c>
      <x:c r="J70" t="str">
        <x:f t="shared" ca="1" si="8"/>
        <x:v>PASIBAIGĘS</x:v>
      </x:c>
    </x:row>
    <x:row r="71">
      <x:c r="A71" t="str">
        <x:f>IF('1 Žaliavų gavimas'!B71="","",'1 Žaliavų gavimas'!B71)</x:f>
        <x:v>Grietinės mišinys</x:v>
      </x:c>
      <x:c r="B71" t="str">
        <x:f>IF($A71="","",'1 Žaliavų gavimas'!D71)</x:f>
        <x:v>Gr0831</x:v>
      </x:c>
      <x:c r="C71" s="12" t="n">
        <x:f>IF($A71="","",'1 Žaliavų gavimas'!A71)</x:f>
        <x:v>46265</x:v>
      </x:c>
      <x:c r="D71" s="12" t="n">
        <x:f>IF($A71="","",'1 Žaliavų gavimas'!G71)</x:f>
        <x:v>46274</x:v>
      </x:c>
      <x:c r="E71" s="38" t="n">
        <x:v>150</x:v>
      </x:c>
      <x:c r="F71" s="13" t="n">
        <x:f>IF($A71="","",SUMIFS('5 Žaliavų perdavimai'!$E$4:$E$203,'5 Žaliavų perdavimai'!$D$4:$D$203,$B71))</x:f>
        <x:v>0</x:v>
      </x:c>
      <x:c r="G71" s="38" t="n">
        <x:v>57.59999392</x:v>
      </x:c>
      <x:c r="H71" s="38" t="n">
        <x:f t="shared" si="6"/>
        <x:v>92.40000608</x:v>
      </x:c>
      <x:c r="I71">
        <x:f t="shared" ca="1" si="7"/>
        <x:v>-14</x:v>
      </x:c>
      <x:c r="J71" t="str">
        <x:f t="shared" ca="1" si="8"/>
        <x:v>PASIBAIGĘS</x:v>
      </x:c>
    </x:row>
    <x:row r="72">
      <x:c r="A72" t="str">
        <x:f>IF('1 Žaliavų gavimas'!B72="","",'1 Žaliavų gavimas'!B72)</x:f>
        <x:v>Kiaušiniai</x:v>
      </x:c>
      <x:c r="B72" t="str">
        <x:f>IF($A72="","",'1 Žaliavų gavimas'!D72)</x:f>
        <x:v>K0901</x:v>
      </x:c>
      <x:c r="C72" s="12" t="n">
        <x:f>IF($A72="","",'1 Žaliavų gavimas'!A72)</x:f>
        <x:v>46266</x:v>
      </x:c>
      <x:c r="D72" s="12" t="n">
        <x:f>IF($A72="","",'1 Žaliavų gavimas'!G72)</x:f>
        <x:v>46286</x:v>
      </x:c>
      <x:c r="E72" s="38" t="n">
        <x:v>3240</x:v>
      </x:c>
      <x:c r="F72" s="13" t="n">
        <x:f>IF($A72="","",SUMIFS('5 Žaliavų perdavimai'!$E$4:$E$203,'5 Žaliavų perdavimai'!$D$4:$D$203,$B72))</x:f>
        <x:v>0</x:v>
      </x:c>
      <x:c r="G72" s="38" t="n">
        <x:v>0</x:v>
      </x:c>
      <x:c r="H72" s="38" t="n">
        <x:f t="shared" si="6"/>
        <x:v>3240</x:v>
      </x:c>
      <x:c r="I72">
        <x:f t="shared" ca="1" si="7"/>
        <x:v>-2</x:v>
      </x:c>
      <x:c r="J72" t="str">
        <x:f t="shared" ca="1" si="8"/>
        <x:v>PASIBAIGĘS</x:v>
      </x:c>
    </x:row>
    <x:row r="73">
      <x:c r="A73" t="str">
        <x:f>IF('1 Žaliavų gavimas'!B73="","",'1 Žaliavų gavimas'!B73)</x:f>
        <x:v>Pienas</x:v>
      </x:c>
      <x:c r="B73" t="str">
        <x:f>IF($A73="","",'1 Žaliavų gavimas'!D73)</x:f>
        <x:v>P0902</x:v>
      </x:c>
      <x:c r="C73" s="12" t="n">
        <x:f>IF($A73="","",'1 Žaliavų gavimas'!A73)</x:f>
        <x:v>46267</x:v>
      </x:c>
      <x:c r="D73" s="12" t="n">
        <x:f>IF($A73="","",'1 Žaliavų gavimas'!G73)</x:f>
        <x:v>46273</x:v>
      </x:c>
      <x:c r="E73" s="38" t="n">
        <x:v>250</x:v>
      </x:c>
      <x:c r="F73" s="13" t="n">
        <x:f>IF($A73="","",SUMIFS('5 Žaliavų perdavimai'!$E$4:$E$203,'5 Žaliavų perdavimai'!$D$4:$D$203,$B73))</x:f>
        <x:v>0</x:v>
      </x:c>
      <x:c r="G73" s="38" t="n">
        <x:v>0</x:v>
      </x:c>
      <x:c r="H73" s="38" t="n">
        <x:f t="shared" si="6"/>
        <x:v>250</x:v>
      </x:c>
      <x:c r="I73">
        <x:f t="shared" ca="1" si="7"/>
        <x:v>-15</x:v>
      </x:c>
      <x:c r="J73" t="str">
        <x:f t="shared" ca="1" si="8"/>
        <x:v>PASIBAIGĘS</x:v>
      </x:c>
    </x:row>
    <x:row r="74">
      <x:c r="A74" t="str">
        <x:f>IF('1 Žaliavų gavimas'!B74="","",'1 Žaliavų gavimas'!B74)</x:f>
        <x:v>Cukrus</x:v>
      </x:c>
      <x:c r="B74" t="str">
        <x:f>IF($A74="","",'1 Žaliavų gavimas'!D74)</x:f>
        <x:v>Cuk0902</x:v>
      </x:c>
      <x:c r="C74" s="12" t="n">
        <x:f>IF($A74="","",'1 Žaliavų gavimas'!A74)</x:f>
        <x:v>46267</x:v>
      </x:c>
      <x:c r="D74" s="12" t="n">
        <x:f>IF($A74="","",'1 Žaliavų gavimas'!G74)</x:f>
        <x:v>46388</x:v>
      </x:c>
      <x:c r="E74" s="38" t="n">
        <x:v>800</x:v>
      </x:c>
      <x:c r="F74" s="13" t="n">
        <x:f>IF($A74="","",SUMIFS('5 Žaliavų perdavimai'!$E$4:$E$203,'5 Žaliavų perdavimai'!$D$4:$D$203,$B74))</x:f>
        <x:v>0</x:v>
      </x:c>
      <x:c r="G74" s="38" t="n">
        <x:v>0</x:v>
      </x:c>
      <x:c r="H74" s="38" t="n">
        <x:f t="shared" si="6"/>
        <x:v>800</x:v>
      </x:c>
      <x:c r="I74">
        <x:f t="shared" ca="1" si="7"/>
        <x:v>100</x:v>
      </x:c>
      <x:c r="J74" t="str">
        <x:f t="shared" ca="1" si="8"/>
        <x:v>OK</x:v>
      </x:c>
    </x:row>
    <x:row r="75">
      <x:c r="A75" t="str">
        <x:f>IF('1 Žaliavų gavimas'!B75="","",'1 Žaliavų gavimas'!B75)</x:f>
        <x:v>Miltai</x:v>
      </x:c>
      <x:c r="B75" t="str">
        <x:f>IF($A75="","",'1 Žaliavų gavimas'!D75)</x:f>
        <x:v>Mil0902</x:v>
      </x:c>
      <x:c r="C75" s="12" t="n">
        <x:f>IF($A75="","",'1 Žaliavų gavimas'!A75)</x:f>
        <x:v>46267</x:v>
      </x:c>
      <x:c r="D75" s="12" t="n">
        <x:f>IF($A75="","",'1 Žaliavų gavimas'!G75)</x:f>
        <x:v>46605</x:v>
      </x:c>
      <x:c r="E75" s="38" t="n">
        <x:v>800</x:v>
      </x:c>
      <x:c r="F75" s="13" t="n">
        <x:f>IF($A75="","",SUMIFS('5 Žaliavų perdavimai'!$E$4:$E$203,'5 Žaliavų perdavimai'!$D$4:$D$203,$B75))</x:f>
        <x:v>0</x:v>
      </x:c>
      <x:c r="G75" s="38" t="n">
        <x:v>0</x:v>
      </x:c>
      <x:c r="H75" s="38" t="n">
        <x:f t="shared" si="6"/>
        <x:v>800</x:v>
      </x:c>
      <x:c r="I75">
        <x:f t="shared" ca="1" si="7"/>
        <x:v>317</x:v>
      </x:c>
      <x:c r="J75" t="str">
        <x:f t="shared" ca="1" si="8"/>
        <x:v>OK</x:v>
      </x:c>
    </x:row>
    <x:row r="76">
      <x:c r="A76" t="str">
        <x:f>IF('1 Žaliavų gavimas'!B76="","",'1 Žaliavų gavimas'!B76)</x:f>
        <x:v>Grietinės mišinys</x:v>
      </x:c>
      <x:c r="B76" t="str">
        <x:f>IF($A76="","",'1 Žaliavų gavimas'!D76)</x:f>
        <x:v>Gr0902</x:v>
      </x:c>
      <x:c r="C76" s="12" t="n">
        <x:f>IF($A76="","",'1 Žaliavų gavimas'!A76)</x:f>
        <x:v>46267</x:v>
      </x:c>
      <x:c r="D76" s="12" t="n">
        <x:f>IF($A76="","",'1 Žaliavų gavimas'!G76)</x:f>
        <x:v>46276</x:v>
      </x:c>
      <x:c r="E76" s="38" t="n">
        <x:v>200</x:v>
      </x:c>
      <x:c r="F76" s="13" t="n">
        <x:f>IF($A76="","",SUMIFS('5 Žaliavų perdavimai'!$E$4:$E$203,'5 Žaliavų perdavimai'!$D$4:$D$203,$B76))</x:f>
        <x:v>0</x:v>
      </x:c>
      <x:c r="G76" s="38" t="n">
        <x:v>0</x:v>
      </x:c>
      <x:c r="H76" s="38" t="n">
        <x:f t="shared" si="6"/>
        <x:v>200</x:v>
      </x:c>
      <x:c r="I76">
        <x:f t="shared" ca="1" si="7"/>
        <x:v>-12</x:v>
      </x:c>
      <x:c r="J76" t="str">
        <x:f t="shared" ca="1" si="8"/>
        <x:v>PASIBAIGĘS</x:v>
      </x:c>
    </x:row>
    <x:row r="77">
      <x:c r="A77" t="str">
        <x:f>IF('1 Žaliavų gavimas'!B77="","",'1 Žaliavų gavimas'!B77)</x:f>
        <x:v>Margarinas trapiam "IEVA"</x:v>
      </x:c>
      <x:c r="B77" t="str">
        <x:f>IF($A77="","",'1 Žaliavų gavimas'!D77)</x:f>
        <x:v>MarI0903</x:v>
      </x:c>
      <x:c r="C77" s="12" t="n">
        <x:f>IF($A77="","",'1 Žaliavų gavimas'!A77)</x:f>
        <x:v>46268</x:v>
      </x:c>
      <x:c r="D77" s="12" t="n">
        <x:f>IF($A77="","",'1 Žaliavų gavimas'!G77)</x:f>
        <x:v>46436</x:v>
      </x:c>
      <x:c r="E77" s="38" t="n">
        <x:v>900</x:v>
      </x:c>
      <x:c r="F77" s="13" t="n">
        <x:f>IF($A77="","",SUMIFS('5 Žaliavų perdavimai'!$E$4:$E$203,'5 Žaliavų perdavimai'!$D$4:$D$203,$B77))</x:f>
        <x:v>0</x:v>
      </x:c>
      <x:c r="G77" s="38" t="n">
        <x:v>0</x:v>
      </x:c>
      <x:c r="H77" s="38" t="n">
        <x:f t="shared" si="6"/>
        <x:v>900</x:v>
      </x:c>
      <x:c r="I77">
        <x:f t="shared" ca="1" si="7"/>
        <x:v>148</x:v>
      </x:c>
      <x:c r="J77" t="str">
        <x:f t="shared" ca="1" si="8"/>
        <x:v>OK</x:v>
      </x:c>
    </x:row>
    <x:row r="78">
      <x:c r="A78" t="str">
        <x:f>IF('1 Žaliavų gavimas'!B78="","",'1 Žaliavų gavimas'!B78)</x:f>
        <x:v>Cukrus</x:v>
      </x:c>
      <x:c r="B78" t="str">
        <x:f>IF($A78="","",'1 Žaliavų gavimas'!D78)</x:f>
        <x:v>Cuk0903</x:v>
      </x:c>
      <x:c r="C78" s="12" t="n">
        <x:f>IF($A78="","",'1 Žaliavų gavimas'!A78)</x:f>
        <x:v>46268</x:v>
      </x:c>
      <x:c r="D78" s="12" t="n">
        <x:f>IF($A78="","",'1 Žaliavų gavimas'!G78)</x:f>
        <x:v>46753</x:v>
      </x:c>
      <x:c r="E78" s="38" t="n">
        <x:v>800</x:v>
      </x:c>
      <x:c r="F78" s="13" t="n">
        <x:f>IF($A78="","",SUMIFS('5 Žaliavų perdavimai'!$E$4:$E$203,'5 Žaliavų perdavimai'!$D$4:$D$203,$B78))</x:f>
        <x:v>0</x:v>
      </x:c>
      <x:c r="G78" s="38" t="n">
        <x:v>0</x:v>
      </x:c>
      <x:c r="H78" s="38" t="n">
        <x:f t="shared" si="6"/>
        <x:v>800</x:v>
      </x:c>
      <x:c r="I78">
        <x:f t="shared" ca="1" si="7"/>
        <x:v>465</x:v>
      </x:c>
      <x:c r="J78" t="str">
        <x:f t="shared" ca="1" si="8"/>
        <x:v>OK</x:v>
      </x:c>
    </x:row>
    <x:row r="79">
      <x:c r="A79" t="str">
        <x:f>IF('1 Žaliavų gavimas'!B79="","",'1 Žaliavų gavimas'!B79)</x:f>
        <x:v>Grietinės mišinys</x:v>
      </x:c>
      <x:c r="B79" t="str">
        <x:f>IF($A79="","",'1 Žaliavų gavimas'!D79)</x:f>
        <x:v>Gr0904</x:v>
      </x:c>
      <x:c r="C79" s="12" t="n">
        <x:f>IF($A79="","",'1 Žaliavų gavimas'!A79)</x:f>
        <x:v>46269</x:v>
      </x:c>
      <x:c r="D79" s="12" t="n">
        <x:f>IF($A79="","",'1 Žaliavų gavimas'!G79)</x:f>
        <x:v>46279</x:v>
      </x:c>
      <x:c r="E79" s="38" t="n">
        <x:v>200</x:v>
      </x:c>
      <x:c r="F79" s="13" t="n">
        <x:f>IF($A79="","",SUMIFS('5 Žaliavų perdavimai'!$E$4:$E$203,'5 Žaliavų perdavimai'!$D$4:$D$203,$B79))</x:f>
        <x:v>0</x:v>
      </x:c>
      <x:c r="G79" s="38" t="n">
        <x:v>0</x:v>
      </x:c>
      <x:c r="H79" s="38" t="n">
        <x:f t="shared" si="6"/>
        <x:v>200</x:v>
      </x:c>
      <x:c r="I79">
        <x:f t="shared" ca="1" si="7"/>
        <x:v>-9</x:v>
      </x:c>
      <x:c r="J79" t="str">
        <x:f t="shared" ca="1" si="8"/>
        <x:v>PASIBAIGĘS</x:v>
      </x:c>
    </x:row>
    <x:row r="80">
      <x:c r="A80" t="str">
        <x:f>IF('1 Žaliavų gavimas'!B80="","",'1 Žaliavų gavimas'!B80)</x:f>
        <x:v>Pienas</x:v>
      </x:c>
      <x:c r="B80" t="str">
        <x:f>IF($A80="","",'1 Žaliavų gavimas'!D80)</x:f>
        <x:v>P0907</x:v>
      </x:c>
      <x:c r="C80" s="12" t="n">
        <x:f>IF($A80="","",'1 Žaliavų gavimas'!A80)</x:f>
        <x:v>46272</x:v>
      </x:c>
      <x:c r="D80" s="12" t="n">
        <x:f>IF($A80="","",'1 Žaliavų gavimas'!G80)</x:f>
        <x:v>46276</x:v>
      </x:c>
      <x:c r="E80" s="38" t="n">
        <x:v>297</x:v>
      </x:c>
      <x:c r="F80" s="13" t="n">
        <x:f>IF($A80="","",SUMIFS('5 Žaliavų perdavimai'!$E$4:$E$203,'5 Žaliavų perdavimai'!$D$4:$D$203,$B80))</x:f>
        <x:v>0</x:v>
      </x:c>
      <x:c r="G80" s="38" t="n">
        <x:v>0</x:v>
      </x:c>
      <x:c r="H80" s="38" t="n">
        <x:f t="shared" si="6"/>
        <x:v>297</x:v>
      </x:c>
      <x:c r="I80">
        <x:f t="shared" ca="1" si="7"/>
        <x:v>-12</x:v>
      </x:c>
      <x:c r="J80" t="str">
        <x:f t="shared" ca="1" si="8"/>
        <x:v>PASIBAIGĘS</x:v>
      </x:c>
    </x:row>
    <x:row r="81">
      <x:c r="A81" t="str">
        <x:f>IF('1 Žaliavų gavimas'!B81="","",'1 Žaliavų gavimas'!B81)</x:f>
        <x:v>Miltai</x:v>
      </x:c>
      <x:c r="B81" t="str">
        <x:f>IF($A81="","",'1 Žaliavų gavimas'!D81)</x:f>
        <x:v>Mil0907</x:v>
      </x:c>
      <x:c r="C81" s="12" t="n">
        <x:f>IF($A81="","",'1 Žaliavų gavimas'!A81)</x:f>
        <x:v>46272</x:v>
      </x:c>
      <x:c r="D81" s="12" t="n">
        <x:f>IF($A81="","",'1 Žaliavų gavimas'!G81)</x:f>
        <x:v>46578</x:v>
      </x:c>
      <x:c r="E81" s="38" t="n">
        <x:v>800</x:v>
      </x:c>
      <x:c r="F81" s="13" t="n">
        <x:f>IF($A81="","",SUMIFS('5 Žaliavų perdavimai'!$E$4:$E$203,'5 Žaliavų perdavimai'!$D$4:$D$203,$B81))</x:f>
        <x:v>0</x:v>
      </x:c>
      <x:c r="G81" s="38" t="n">
        <x:v>0</x:v>
      </x:c>
      <x:c r="H81" s="38" t="n">
        <x:f t="shared" si="6"/>
        <x:v>800</x:v>
      </x:c>
      <x:c r="I81">
        <x:f t="shared" ca="1" si="7"/>
        <x:v>290</x:v>
      </x:c>
      <x:c r="J81" t="str">
        <x:f t="shared" ca="1" si="8"/>
        <x:v>OK</x:v>
      </x:c>
    </x:row>
    <x:row r="82">
      <x:c r="A82" t="str">
        <x:f>IF('1 Žaliavų gavimas'!B82="","",'1 Žaliavų gavimas'!B82)</x:f>
        <x:v>Grietinės mišinys</x:v>
      </x:c>
      <x:c r="B82" t="str">
        <x:f>IF($A82="","",'1 Žaliavų gavimas'!D82)</x:f>
        <x:v>Gr0907</x:v>
      </x:c>
      <x:c r="C82" s="12" t="n">
        <x:f>IF($A82="","",'1 Žaliavų gavimas'!A82)</x:f>
        <x:v>46272</x:v>
      </x:c>
      <x:c r="D82" s="12" t="n">
        <x:f>IF($A82="","",'1 Žaliavų gavimas'!G82)</x:f>
        <x:v>46279</x:v>
      </x:c>
      <x:c r="E82" s="38" t="n">
        <x:v>150</x:v>
      </x:c>
      <x:c r="F82" s="13" t="n">
        <x:f>IF($A82="","",SUMIFS('5 Žaliavų perdavimai'!$E$4:$E$203,'5 Žaliavų perdavimai'!$D$4:$D$203,$B82))</x:f>
        <x:v>0</x:v>
      </x:c>
      <x:c r="G82" s="38" t="n">
        <x:v>0</x:v>
      </x:c>
      <x:c r="H82" s="38" t="n">
        <x:f t="shared" si="6"/>
        <x:v>150</x:v>
      </x:c>
      <x:c r="I82">
        <x:f t="shared" ca="1" si="7"/>
        <x:v>-9</x:v>
      </x:c>
      <x:c r="J82" t="str">
        <x:f t="shared" ca="1" si="8"/>
        <x:v>PASIBAIGĘS</x:v>
      </x:c>
    </x:row>
    <x:row r="83">
      <x:c r="A83" t="str">
        <x:f>IF('1 Žaliavų gavimas'!B83="","",'1 Žaliavų gavimas'!B83)</x:f>
        <x:v>Kvapnioji medžiaga</x:v>
      </x:c>
      <x:c r="B83" t="str">
        <x:f>IF($A83="","",'1 Žaliavų gavimas'!D83)</x:f>
        <x:v>Kvp0907</x:v>
      </x:c>
      <x:c r="C83" s="12" t="n">
        <x:f>IF($A83="","",'1 Žaliavų gavimas'!A83)</x:f>
        <x:v>46272</x:v>
      </x:c>
      <x:c r="D83" s="12" t="n">
        <x:f>IF($A83="","",'1 Žaliavų gavimas'!G83)</x:f>
        <x:v>47077</x:v>
      </x:c>
      <x:c r="E83" s="38" t="n">
        <x:v>20</x:v>
      </x:c>
      <x:c r="F83" s="13" t="n">
        <x:f>IF($A83="","",SUMIFS('5 Žaliavų perdavimai'!$E$4:$E$203,'5 Žaliavų perdavimai'!$D$4:$D$203,$B83))</x:f>
        <x:v>0</x:v>
      </x:c>
      <x:c r="G83" s="38" t="n">
        <x:v>0</x:v>
      </x:c>
      <x:c r="H83" s="38" t="n">
        <x:f t="shared" si="6"/>
        <x:v>20</x:v>
      </x:c>
      <x:c r="I83">
        <x:f t="shared" ca="1" si="7"/>
        <x:v>789</x:v>
      </x:c>
      <x:c r="J83" t="str">
        <x:f t="shared" ca="1" si="8"/>
        <x:v>OK</x:v>
      </x:c>
    </x:row>
    <x:row r="84">
      <x:c r="A84" t="str">
        <x:f>IF('1 Žaliavų gavimas'!B87="","",'1 Žaliavų gavimas'!B87)</x:f>
        <x:v>Grietinės mišinys</x:v>
      </x:c>
      <x:c r="B84" t="str">
        <x:f>IF($A84="","",'1 Žaliavų gavimas'!D87)</x:f>
        <x:v>Gr0909</x:v>
      </x:c>
      <x:c r="C84" s="12" t="n">
        <x:f>IF($A84="","",'1 Žaliavų gavimas'!A87)</x:f>
        <x:v>46274</x:v>
      </x:c>
      <x:c r="D84" s="12" t="n">
        <x:f>IF($A84="","",'1 Žaliavų gavimas'!G87)</x:f>
        <x:v>46283</x:v>
      </x:c>
      <x:c r="E84" s="38" t="n">
        <x:v>300</x:v>
      </x:c>
      <x:c r="F84" s="13" t="n">
        <x:f>IF($A84="","",SUMIFS('5 Žaliavų perdavimai'!$E$4:$E$203,'5 Žaliavų perdavimai'!$D$4:$D$203,$B84))</x:f>
        <x:v>0</x:v>
      </x:c>
      <x:c r="G84" s="38" t="n">
        <x:v>0</x:v>
      </x:c>
      <x:c r="H84" s="38" t="n">
        <x:f t="shared" si="6"/>
        <x:v>300</x:v>
      </x:c>
      <x:c r="I84">
        <x:f t="shared" ca="1" si="7"/>
        <x:v>-5</x:v>
      </x:c>
      <x:c r="J84" t="str">
        <x:f t="shared" ca="1" si="8"/>
        <x:v>PASIBAIGĘS</x:v>
      </x:c>
    </x:row>
    <x:row r="85">
      <x:c r="A85" t="str">
        <x:f>IF('1 Žaliavų gavimas'!B88="","",'1 Žaliavų gavimas'!B88)</x:f>
        <x:v>Margarinas trapiam "IEVA"</x:v>
      </x:c>
      <x:c r="B85" t="str">
        <x:f>IF($A85="","",'1 Žaliavų gavimas'!D88)</x:f>
        <x:v>MarI0910</x:v>
      </x:c>
      <x:c r="C85" s="12" t="n">
        <x:f>IF($A85="","",'1 Žaliavų gavimas'!A88)</x:f>
        <x:v>46275</x:v>
      </x:c>
      <x:c r="D85" s="12" t="n">
        <x:f>IF($A85="","",'1 Žaliavų gavimas'!G88)</x:f>
        <x:v>46436</x:v>
      </x:c>
      <x:c r="E85" s="38" t="n">
        <x:v>800</x:v>
      </x:c>
      <x:c r="F85" s="13" t="n">
        <x:f>IF($A85="","",SUMIFS('5 Žaliavų perdavimai'!$E$4:$E$203,'5 Žaliavų perdavimai'!$D$4:$D$203,$B85))</x:f>
        <x:v>0</x:v>
      </x:c>
      <x:c r="G85" s="38" t="n">
        <x:v>0</x:v>
      </x:c>
      <x:c r="H85" s="38" t="n">
        <x:f t="shared" si="6"/>
        <x:v>800</x:v>
      </x:c>
      <x:c r="I85">
        <x:f t="shared" ca="1" si="7"/>
        <x:v>148</x:v>
      </x:c>
      <x:c r="J85" t="str">
        <x:f t="shared" ca="1" si="8"/>
        <x:v>OK</x:v>
      </x:c>
    </x:row>
    <x:row r="86">
      <x:c r="A86" t="str">
        <x:f>IF('1 Žaliavų gavimas'!B89="","",'1 Žaliavų gavimas'!B89)</x:f>
        <x:v>Grietinės mišinys</x:v>
      </x:c>
      <x:c r="B86" t="str">
        <x:f>IF($A86="","",'1 Žaliavų gavimas'!D89)</x:f>
        <x:v>Gr0911</x:v>
      </x:c>
      <x:c r="C86" s="12" t="n">
        <x:f>IF($A86="","",'1 Žaliavų gavimas'!A89)</x:f>
        <x:v>46276</x:v>
      </x:c>
      <x:c r="D86" s="12" t="n">
        <x:f>IF($A86="","",'1 Žaliavų gavimas'!G89)</x:f>
        <x:v>46285</x:v>
      </x:c>
      <x:c r="E86" s="38" t="n">
        <x:v>800</x:v>
      </x:c>
      <x:c r="F86" s="13" t="n">
        <x:f>IF($A86="","",SUMIFS('5 Žaliavų perdavimai'!$E$4:$E$203,'5 Žaliavų perdavimai'!$D$4:$D$203,$B86))</x:f>
        <x:v>0</x:v>
      </x:c>
      <x:c r="G86" s="38" t="n">
        <x:v>0</x:v>
      </x:c>
      <x:c r="H86" s="38" t="n">
        <x:f t="shared" si="6"/>
        <x:v>800</x:v>
      </x:c>
      <x:c r="I86">
        <x:f t="shared" ca="1" si="7"/>
        <x:v>-3</x:v>
      </x:c>
      <x:c r="J86" t="str">
        <x:f t="shared" ca="1" si="8"/>
        <x:v>PASIBAIGĘS</x:v>
      </x:c>
    </x:row>
    <x:row r="87">
      <x:c r="A87" t="str">
        <x:f>IF('1 Žaliavų gavimas'!B90="","",'1 Žaliavų gavimas'!B90)</x:f>
        <x:v>Grietinės mišinys</x:v>
      </x:c>
      <x:c r="B87" t="str">
        <x:f>IF($A87="","",'1 Žaliavų gavimas'!D90)</x:f>
        <x:v>Gr0914</x:v>
      </x:c>
      <x:c r="C87" s="12" t="n">
        <x:f>IF($A87="","",'1 Žaliavų gavimas'!A90)</x:f>
        <x:v>46279</x:v>
      </x:c>
      <x:c r="D87" s="12" t="n">
        <x:f>IF($A87="","",'1 Žaliavų gavimas'!G90)</x:f>
        <x:v>46286</x:v>
      </x:c>
      <x:c r="E87" s="38" t="n">
        <x:v>150</x:v>
      </x:c>
      <x:c r="F87" s="13" t="n">
        <x:f>IF($A87="","",SUMIFS('5 Žaliavų perdavimai'!$E$4:$E$203,'5 Žaliavų perdavimai'!$D$4:$D$203,$B87))</x:f>
        <x:v>0</x:v>
      </x:c>
      <x:c r="G87" s="38" t="n">
        <x:v>0</x:v>
      </x:c>
      <x:c r="H87" s="38" t="n">
        <x:f t="shared" si="6"/>
        <x:v>150</x:v>
      </x:c>
      <x:c r="I87">
        <x:f t="shared" ca="1" si="7"/>
        <x:v>-2</x:v>
      </x:c>
      <x:c r="J87" t="str">
        <x:f t="shared" ca="1" si="8"/>
        <x:v>PASIBAIGĘS</x:v>
      </x:c>
    </x:row>
    <x:row r="88">
      <x:c r="A88" t="str">
        <x:f>IF('1 Žaliavų gavimas'!B91="","",'1 Žaliavų gavimas'!B91)</x:f>
        <x:v>Kiaušiniai</x:v>
      </x:c>
      <x:c r="B88" t="str">
        <x:f>IF($A88="","",'1 Žaliavų gavimas'!D91)</x:f>
        <x:v>K0914</x:v>
      </x:c>
      <x:c r="C88" s="12" t="n">
        <x:f>IF($A88="","",'1 Žaliavų gavimas'!A91)</x:f>
        <x:v>46279</x:v>
      </x:c>
      <x:c r="D88" s="12" t="n">
        <x:f>IF($A88="","",'1 Žaliavų gavimas'!G91)</x:f>
        <x:v>46300</x:v>
      </x:c>
      <x:c r="E88" s="38" t="n">
        <x:v>900</x:v>
      </x:c>
      <x:c r="F88" s="13" t="n">
        <x:f>IF($A88="","",SUMIFS('5 Žaliavų perdavimai'!$E$4:$E$203,'5 Žaliavų perdavimai'!$D$4:$D$203,$B88))</x:f>
        <x:v>0</x:v>
      </x:c>
      <x:c r="G88" s="38" t="n">
        <x:v>0</x:v>
      </x:c>
      <x:c r="H88" s="38" t="n">
        <x:f t="shared" si="6"/>
        <x:v>900</x:v>
      </x:c>
      <x:c r="I88">
        <x:f t="shared" ca="1" si="7"/>
        <x:v>12</x:v>
      </x:c>
      <x:c r="J88" t="str">
        <x:f t="shared" ca="1" si="8"/>
        <x:v>OK</x:v>
      </x:c>
    </x:row>
    <x:row r="89">
      <x:c r="A89" t="str">
        <x:f>IF('1 Žaliavų gavimas'!B92="","",'1 Žaliavų gavimas'!B92)</x:f>
        <x:v>Pienas</x:v>
      </x:c>
      <x:c r="B89" t="str">
        <x:f>IF($A89="","",'1 Žaliavų gavimas'!D92)</x:f>
        <x:v>P0914</x:v>
      </x:c>
      <x:c r="C89" s="12" t="n">
        <x:f>IF($A89="","",'1 Žaliavų gavimas'!A92)</x:f>
        <x:v>46279</x:v>
      </x:c>
      <x:c r="D89" s="12" t="n">
        <x:f>IF($A89="","",'1 Žaliavų gavimas'!G92)</x:f>
        <x:v>46283</x:v>
      </x:c>
      <x:c r="E89" s="38" t="n">
        <x:v>200</x:v>
      </x:c>
      <x:c r="F89" s="13" t="n">
        <x:f>IF($A89="","",SUMIFS('5 Žaliavų perdavimai'!$E$4:$E$203,'5 Žaliavų perdavimai'!$D$4:$D$203,$B89))</x:f>
        <x:v>0</x:v>
      </x:c>
      <x:c r="G89" s="38" t="n">
        <x:v>0</x:v>
      </x:c>
      <x:c r="H89" s="38" t="n">
        <x:f t="shared" si="6"/>
        <x:v>200</x:v>
      </x:c>
      <x:c r="I89">
        <x:f t="shared" ca="1" si="7"/>
        <x:v>-5</x:v>
      </x:c>
      <x:c r="J89" t="str">
        <x:f t="shared" ca="1" si="8"/>
        <x:v>PASIBAIGĘS</x:v>
      </x:c>
    </x:row>
    <x:row r="90">
      <x:c r="A90" t="str">
        <x:f>IF('1 Žaliavų gavimas'!B93="","",'1 Žaliavų gavimas'!B93)</x:f>
        <x:v>Miltai</x:v>
      </x:c>
      <x:c r="B90" t="str">
        <x:f>IF($A90="","",'1 Žaliavų gavimas'!D93)</x:f>
        <x:v>Mil0914</x:v>
      </x:c>
      <x:c r="C90" s="12" t="n">
        <x:f>IF($A90="","",'1 Žaliavų gavimas'!A93)</x:f>
        <x:v>46279</x:v>
      </x:c>
      <x:c r="D90" s="12" t="n">
        <x:f>IF($A90="","",'1 Žaliavų gavimas'!G93)</x:f>
        <x:v>46630</x:v>
      </x:c>
      <x:c r="E90" s="38" t="n">
        <x:v>200</x:v>
      </x:c>
      <x:c r="F90" s="13" t="n">
        <x:f>IF($A90="","",SUMIFS('5 Žaliavų perdavimai'!$E$4:$E$203,'5 Žaliavų perdavimai'!$D$4:$D$203,$B90))</x:f>
        <x:v>0</x:v>
      </x:c>
      <x:c r="G90" s="38" t="n">
        <x:v>0</x:v>
      </x:c>
      <x:c r="H90" s="38" t="n">
        <x:f t="shared" si="6"/>
        <x:v>200</x:v>
      </x:c>
      <x:c r="I90">
        <x:f t="shared" ca="1" si="7"/>
        <x:v>342</x:v>
      </x:c>
      <x:c r="J90" t="str">
        <x:f t="shared" ca="1" si="8"/>
        <x:v>OK</x:v>
      </x:c>
    </x:row>
    <x:row r="91">
      <x:c r="A91" t="str">
        <x:f>IF('1 Žaliavų gavimas'!B94="","",'1 Žaliavų gavimas'!B94)</x:f>
        <x:v>Cukrus</x:v>
      </x:c>
      <x:c r="B91" t="str">
        <x:f>IF($A91="","",'1 Žaliavų gavimas'!D94)</x:f>
        <x:v>Cuk0914</x:v>
      </x:c>
      <x:c r="C91" s="12" t="n">
        <x:f>IF($A91="","",'1 Žaliavų gavimas'!A94)</x:f>
        <x:v>46279</x:v>
      </x:c>
      <x:c r="D91" s="12" t="n">
        <x:f>IF($A91="","",'1 Žaliavų gavimas'!G94)</x:f>
        <x:v>46388</x:v>
      </x:c>
      <x:c r="E91" s="38" t="n">
        <x:v>4536</x:v>
      </x:c>
      <x:c r="F91" s="13" t="n">
        <x:f>IF($A91="","",SUMIFS('5 Žaliavų perdavimai'!$E$4:$E$203,'5 Žaliavų perdavimai'!$D$4:$D$203,$B91))</x:f>
        <x:v>0</x:v>
      </x:c>
      <x:c r="G91" s="38" t="n">
        <x:v>0</x:v>
      </x:c>
      <x:c r="H91" s="38" t="n">
        <x:f t="shared" si="6"/>
        <x:v>4536</x:v>
      </x:c>
      <x:c r="I91">
        <x:f t="shared" ca="1" si="7"/>
        <x:v>100</x:v>
      </x:c>
      <x:c r="J91" t="str">
        <x:f t="shared" ca="1" si="8"/>
        <x:v>OK</x:v>
      </x:c>
    </x:row>
    <x:row r="92">
      <x:c r="A92" t="str">
        <x:f>IF('1 Žaliavų gavimas'!B95="","",'1 Žaliavų gavimas'!B95)</x:f>
        <x:v>Grietinės mišinys</x:v>
      </x:c>
      <x:c r="B92" t="str">
        <x:f>IF($A92="","",'1 Žaliavų gavimas'!D95)</x:f>
        <x:v>Gr0916</x:v>
      </x:c>
      <x:c r="C92" s="12" t="n">
        <x:f>IF($A92="","",'1 Žaliavų gavimas'!A95)</x:f>
        <x:v>46281</x:v>
      </x:c>
      <x:c r="D92" s="12" t="n">
        <x:f>IF($A92="","",'1 Žaliavų gavimas'!G95)</x:f>
        <x:v>46290</x:v>
      </x:c>
      <x:c r="E92" s="38" t="n">
        <x:v>150</x:v>
      </x:c>
      <x:c r="F92" s="13" t="n">
        <x:f>IF($A92="","",SUMIFS('5 Žaliavų perdavimai'!$E$4:$E$203,'5 Žaliavų perdavimai'!$D$4:$D$203,$B92))</x:f>
        <x:v>0</x:v>
      </x:c>
      <x:c r="G92" s="38" t="n">
        <x:v>0</x:v>
      </x:c>
      <x:c r="H92" s="38" t="n">
        <x:f t="shared" si="6"/>
        <x:v>150</x:v>
      </x:c>
      <x:c r="I92">
        <x:f t="shared" ca="1" si="7"/>
        <x:v>2</x:v>
      </x:c>
      <x:c r="J92" t="str">
        <x:f t="shared" ca="1" si="8"/>
        <x:v>BAIGIASI ≤3 D.</x:v>
      </x:c>
    </x:row>
    <x:row r="93">
      <x:c r="A93" t="str">
        <x:f>IF('1 Žaliavų gavimas'!B96="","",'1 Žaliavų gavimas'!B96)</x:f>
        <x:v>Pienas</x:v>
      </x:c>
      <x:c r="B93" t="str">
        <x:f>IF($A93="","",'1 Žaliavų gavimas'!D96)</x:f>
        <x:v>P0916</x:v>
      </x:c>
      <x:c r="C93" s="12" t="n">
        <x:f>IF($A93="","",'1 Žaliavų gavimas'!A96)</x:f>
        <x:v>46281</x:v>
      </x:c>
      <x:c r="D93" s="12" t="n">
        <x:f>IF($A93="","",'1 Žaliavų gavimas'!G96)</x:f>
        <x:v>46287</x:v>
      </x:c>
      <x:c r="E93" s="38" t="n">
        <x:v>800</x:v>
      </x:c>
      <x:c r="F93" s="13" t="n">
        <x:f>IF($A93="","",SUMIFS('5 Žaliavų perdavimai'!$E$4:$E$203,'5 Žaliavų perdavimai'!$D$4:$D$203,$B93))</x:f>
        <x:v>0</x:v>
      </x:c>
      <x:c r="G93" s="38" t="n">
        <x:v>0</x:v>
      </x:c>
      <x:c r="H93" s="38" t="n">
        <x:f t="shared" si="6"/>
        <x:v>800</x:v>
      </x:c>
      <x:c r="I93">
        <x:f t="shared" ca="1" si="7"/>
        <x:v>-1</x:v>
      </x:c>
      <x:c r="J93" t="str">
        <x:f t="shared" ca="1" si="8"/>
        <x:v>PASIBAIGĘS</x:v>
      </x:c>
    </x:row>
    <x:row r="94">
      <x:c r="A94" t="str">
        <x:f>IF('1 Žaliavų gavimas'!B97="","",'1 Žaliavų gavimas'!B97)</x:f>
        <x:v>Miltai</x:v>
      </x:c>
      <x:c r="B94" t="str">
        <x:f>IF($A94="","",'1 Žaliavų gavimas'!D97)</x:f>
        <x:v>Mil0916</x:v>
      </x:c>
      <x:c r="C94" s="12" t="n">
        <x:f>IF($A94="","",'1 Žaliavų gavimas'!A97)</x:f>
        <x:v>46281</x:v>
      </x:c>
      <x:c r="D94" s="12" t="n">
        <x:f>IF($A94="","",'1 Žaliavų gavimas'!G97)</x:f>
        <x:v>46630</x:v>
      </x:c>
      <x:c r="E94" s="38" t="n">
        <x:v>800</x:v>
      </x:c>
      <x:c r="F94" s="13" t="n">
        <x:f>IF($A94="","",SUMIFS('5 Žaliavų perdavimai'!$E$4:$E$203,'5 Žaliavų perdavimai'!$D$4:$D$203,$B94))</x:f>
        <x:v>0</x:v>
      </x:c>
      <x:c r="G94" s="38" t="n">
        <x:v>0</x:v>
      </x:c>
      <x:c r="H94" s="38" t="n">
        <x:f t="shared" si="6"/>
        <x:v>800</x:v>
      </x:c>
      <x:c r="I94">
        <x:f t="shared" ca="1" si="7"/>
        <x:v>342</x:v>
      </x:c>
      <x:c r="J94" t="str">
        <x:f t="shared" ca="1" si="8"/>
        <x:v>OK</x:v>
      </x:c>
    </x:row>
    <x:row r="95">
      <x:c r="A95" t="str">
        <x:f>IF('1 Žaliavų gavimas'!B98="","",'1 Žaliavų gavimas'!B98)</x:f>
        <x:v>Cukrus</x:v>
      </x:c>
      <x:c r="B95" t="str">
        <x:f>IF($A95="","",'1 Žaliavų gavimas'!D98)</x:f>
        <x:v>Cuk0916</x:v>
      </x:c>
      <x:c r="C95" s="12" t="n">
        <x:f>IF($A95="","",'1 Žaliavų gavimas'!A98)</x:f>
        <x:v>46281</x:v>
      </x:c>
      <x:c r="D95" s="12" t="n">
        <x:f>IF($A95="","",'1 Žaliavų gavimas'!G98)</x:f>
        <x:v>46388</x:v>
      </x:c>
      <x:c r="E95" s="38" t="n">
        <x:v>200</x:v>
      </x:c>
      <x:c r="F95" s="13" t="n">
        <x:f>IF($A95="","",SUMIFS('5 Žaliavų perdavimai'!$E$4:$E$203,'5 Žaliavų perdavimai'!$D$4:$D$203,$B95))</x:f>
        <x:v>0</x:v>
      </x:c>
      <x:c r="G95" s="38" t="n">
        <x:v>0</x:v>
      </x:c>
      <x:c r="H95" s="38" t="n">
        <x:f t="shared" si="6"/>
        <x:v>200</x:v>
      </x:c>
      <x:c r="I95">
        <x:f t="shared" ca="1" si="7"/>
        <x:v>100</x:v>
      </x:c>
      <x:c r="J95" t="str">
        <x:f t="shared" ca="1" si="8"/>
        <x:v>OK</x:v>
      </x:c>
    </x:row>
    <x:row r="96">
      <x:c r="A96" t="str">
        <x:f>IF('1 Žaliavų gavimas'!B99="","",'1 Žaliavų gavimas'!B99)</x:f>
        <x:v>Margarinas Šakočiui "Alvas"</x:v>
      </x:c>
      <x:c r="B96" t="str">
        <x:f>IF($A96="","",'1 Žaliavų gavimas'!D99)</x:f>
        <x:v>MarA0916</x:v>
      </x:c>
      <x:c r="C96" s="12" t="n">
        <x:f>IF($A96="","",'1 Žaliavų gavimas'!A99)</x:f>
        <x:v>46281</x:v>
      </x:c>
      <x:c r="D96" s="12" t="n">
        <x:f>IF($A96="","",'1 Žaliavų gavimas'!G99)</x:f>
        <x:v>46322</x:v>
      </x:c>
      <x:c r="E96" s="38" t="n">
        <x:v>52</x:v>
      </x:c>
      <x:c r="F96" s="13" t="n">
        <x:f>IF($A96="","",SUMIFS('5 Žaliavų perdavimai'!$E$4:$E$203,'5 Žaliavų perdavimai'!$D$4:$D$203,$B96))</x:f>
        <x:v>0</x:v>
      </x:c>
      <x:c r="G96" s="38" t="n">
        <x:v>0</x:v>
      </x:c>
      <x:c r="H96" s="38" t="n">
        <x:f t="shared" si="6"/>
        <x:v>52</x:v>
      </x:c>
      <x:c r="I96">
        <x:f t="shared" ca="1" si="7"/>
        <x:v>34</x:v>
      </x:c>
      <x:c r="J96" t="str">
        <x:f t="shared" ca="1" si="8"/>
        <x:v>OK</x:v>
      </x:c>
    </x:row>
    <x:row r="97">
      <x:c r="A97" t="str">
        <x:f>IF('1 Žaliavų gavimas'!B100="","",'1 Žaliavų gavimas'!B100)</x:f>
        <x:v>Pienas</x:v>
      </x:c>
      <x:c r="B97" t="str">
        <x:f>IF($A97="","",'1 Žaliavų gavimas'!D100)</x:f>
        <x:v>P0917</x:v>
      </x:c>
      <x:c r="C97" s="12" t="n">
        <x:f>IF($A97="","",'1 Žaliavų gavimas'!A100)</x:f>
        <x:v>46282</x:v>
      </x:c>
      <x:c r="D97" s="12" t="n">
        <x:f>IF($A97="","",'1 Žaliavų gavimas'!G100)</x:f>
        <x:v>46287</x:v>
      </x:c>
      <x:c r="E97" s="38" t="n">
        <x:v>800</x:v>
      </x:c>
      <x:c r="F97" s="13" t="n">
        <x:f>IF($A97="","",SUMIFS('5 Žaliavų perdavimai'!$E$4:$E$203,'5 Žaliavų perdavimai'!$D$4:$D$203,$B97))</x:f>
        <x:v>0</x:v>
      </x:c>
      <x:c r="G97" s="38" t="n">
        <x:v>0</x:v>
      </x:c>
      <x:c r="H97" s="38" t="n">
        <x:f t="shared" si="6"/>
        <x:v>800</x:v>
      </x:c>
      <x:c r="I97">
        <x:f t="shared" ca="1" si="7"/>
        <x:v>-1</x:v>
      </x:c>
      <x:c r="J97" t="str">
        <x:f t="shared" ca="1" si="8"/>
        <x:v>PASIBAIGĘS</x:v>
      </x:c>
    </x:row>
    <x:row r="98">
      <x:c r="A98" t="str">
        <x:f>IF('1 Žaliavų gavimas'!B101="","",'1 Žaliavų gavimas'!B101)</x:f>
        <x:v>Margarinas trapiam "IEVA"</x:v>
      </x:c>
      <x:c r="B98" t="str">
        <x:f>IF($A98="","",'1 Žaliavų gavimas'!D101)</x:f>
        <x:v>MarI0917</x:v>
      </x:c>
      <x:c r="C98" s="12" t="n">
        <x:f>IF($A98="","",'1 Žaliavų gavimas'!A101)</x:f>
        <x:v>46282</x:v>
      </x:c>
      <x:c r="D98" s="12" t="n">
        <x:f>IF($A98="","",'1 Žaliavų gavimas'!G101)</x:f>
        <x:v>46368</x:v>
      </x:c>
      <x:c r="E98" s="38" t="n">
        <x:v>800</x:v>
      </x:c>
      <x:c r="F98" s="13" t="n">
        <x:f>IF($A98="","",SUMIFS('5 Žaliavų perdavimai'!$E$4:$E$203,'5 Žaliavų perdavimai'!$D$4:$D$203,$B98))</x:f>
        <x:v>0</x:v>
      </x:c>
      <x:c r="G98" s="38" t="n">
        <x:v>0</x:v>
      </x:c>
      <x:c r="H98" s="38" t="n">
        <x:f t="shared" si="6"/>
        <x:v>800</x:v>
      </x:c>
      <x:c r="I98">
        <x:f t="shared" ca="1" si="7"/>
        <x:v>80</x:v>
      </x:c>
      <x:c r="J98" t="str">
        <x:f t="shared" ca="1" si="8"/>
        <x:v>OK</x:v>
      </x:c>
    </x:row>
    <x:row r="99">
      <x:c r="A99" t="str">
        <x:f>IF('1 Žaliavų gavimas'!B102="","",'1 Žaliavų gavimas'!B102)</x:f>
        <x:v>Grietinės mišinys</x:v>
      </x:c>
      <x:c r="B99" t="str">
        <x:f>IF($A99="","",'1 Žaliavų gavimas'!D102)</x:f>
        <x:v>Gr0918</x:v>
      </x:c>
      <x:c r="C99" s="12" t="n">
        <x:f>IF($A99="","",'1 Žaliavų gavimas'!A102)</x:f>
        <x:v>46283</x:v>
      </x:c>
      <x:c r="D99" s="12" t="n">
        <x:f>IF($A99="","",'1 Žaliavų gavimas'!G102)</x:f>
        <x:v>46291</x:v>
      </x:c>
      <x:c r="E99" s="38" t="n">
        <x:v>1440</x:v>
      </x:c>
      <x:c r="F99" s="13" t="n">
        <x:f>IF($A99="","",SUMIFS('5 Žaliavų perdavimai'!$E$4:$E$203,'5 Žaliavų perdavimai'!$D$4:$D$203,$B99))</x:f>
        <x:v>0</x:v>
      </x:c>
      <x:c r="G99" s="38" t="n">
        <x:v>0</x:v>
      </x:c>
      <x:c r="H99" s="38" t="n">
        <x:f t="shared" si="6"/>
        <x:v>1440</x:v>
      </x:c>
      <x:c r="I99">
        <x:f t="shared" ca="1" si="7"/>
        <x:v>3</x:v>
      </x:c>
      <x:c r="J99" t="str">
        <x:f t="shared" ca="1" si="8"/>
        <x:v>BAIGIASI ≤3 D.</x:v>
      </x:c>
    </x:row>
    <x:row r="100">
      <x:c r="A100" t="str">
        <x:f>IF('1 Žaliavų gavimas'!B103="","",'1 Žaliavų gavimas'!B103)</x:f>
        <x:v>Grietinės mišinys</x:v>
      </x:c>
      <x:c r="B100" t="str">
        <x:f>IF($A100="","",'1 Žaliavų gavimas'!D103)</x:f>
        <x:v>Gr0921</x:v>
      </x:c>
      <x:c r="C100" s="12" t="n">
        <x:f>IF($A100="","",'1 Žaliavų gavimas'!A103)</x:f>
        <x:v>46286</x:v>
      </x:c>
      <x:c r="D100" s="12" t="n">
        <x:f>IF($A100="","",'1 Žaliavų gavimas'!G103)</x:f>
        <x:v>46293</x:v>
      </x:c>
      <x:c r="E100" s="38" t="n">
        <x:v>348</x:v>
      </x:c>
      <x:c r="F100" s="13" t="n">
        <x:f>IF($A100="","",SUMIFS('5 Žaliavų perdavimai'!$E$4:$E$203,'5 Žaliavų perdavimai'!$D$4:$D$203,$B100))</x:f>
        <x:v>0</x:v>
      </x:c>
      <x:c r="G100" s="38" t="n">
        <x:v>0</x:v>
      </x:c>
      <x:c r="H100" s="38" t="n">
        <x:f t="shared" ref="H100:H131" si="9">IF($A100="","",$E100-$F100-$G100)</x:f>
        <x:v>348</x:v>
      </x:c>
      <x:c r="I100" t="n">
        <x:f t="shared" ref="I100:I131" ca="1" si="10">IF(OR($A100="",$D100=""),"",$D100-TODAY())</x:f>
        <x:v>4</x:v>
      </x:c>
      <x:c r="J100" t="str">
        <x:f t="shared" ref="J100:J131" ca="1" si="11">IF($A100="","",IF($H100&lt;-0.001,"KONFLIKTAS – VIRŠYTAS LIKUTIS",IF($H100&lt;=0.001,"IŠNAUDOTA",IF($D100="","GALIOJIMAS NENURODYTAS",IF($D100&lt;TODAY(),"PASIBAIGĘS",IF($D100&lt;=TODAY()+3,"BAIGIASI ≤3 D.",IF($D100&lt;=TODAY()+7,"BAIGIASI ≤7 D.","OK")))))))</x:f>
        <x:v>BAIGIASI ≤7 D.</x:v>
      </x:c>
    </x:row>
    <x:row r="101">
      <x:c r="A101" t="str">
        <x:f>IF('1 Žaliavų gavimas'!B104="","",'1 Žaliavų gavimas'!B104)</x:f>
        <x:v>Pienas</x:v>
      </x:c>
      <x:c r="B101" t="str">
        <x:f>IF($A101="","",'1 Žaliavų gavimas'!D104)</x:f>
        <x:v>P0921</x:v>
      </x:c>
      <x:c r="C101" s="12" t="n">
        <x:f>IF($A101="","",'1 Žaliavų gavimas'!A104)</x:f>
        <x:v>46286</x:v>
      </x:c>
      <x:c r="D101" s="12" t="n">
        <x:f>IF($A101="","",'1 Žaliavų gavimas'!G104)</x:f>
        <x:v>46290</x:v>
      </x:c>
      <x:c r="E101" s="38" t="n">
        <x:v>900</x:v>
      </x:c>
      <x:c r="F101" s="13" t="n">
        <x:f>IF($A101="","",SUMIFS('5 Žaliavų perdavimai'!$E$4:$E$203,'5 Žaliavų perdavimai'!$D$4:$D$203,$B101))</x:f>
        <x:v>0</x:v>
      </x:c>
      <x:c r="G101" s="38" t="n">
        <x:v>0</x:v>
      </x:c>
      <x:c r="H101" s="38" t="n">
        <x:f t="shared" si="9"/>
        <x:v>900</x:v>
      </x:c>
      <x:c r="I101">
        <x:f t="shared" ca="1" si="10"/>
        <x:v>2</x:v>
      </x:c>
      <x:c r="J101" t="str">
        <x:f t="shared" ca="1" si="11"/>
        <x:v>BAIGIASI ≤3 D.</x:v>
      </x:c>
    </x:row>
    <x:row r="102">
      <x:c r="A102" t="str">
        <x:f>IF('1 Žaliavų gavimas'!B105="","",'1 Žaliavų gavimas'!B105)</x:f>
        <x:v>Miltai</x:v>
      </x:c>
      <x:c r="B102" t="str">
        <x:f>IF($A102="","",'1 Žaliavų gavimas'!D105)</x:f>
        <x:v>Mil0921</x:v>
      </x:c>
      <x:c r="C102" s="12" t="n">
        <x:f>IF($A102="","",'1 Žaliavų gavimas'!A105)</x:f>
        <x:v>46286</x:v>
      </x:c>
      <x:c r="D102" s="12" t="n">
        <x:f>IF($A102="","",'1 Žaliavų gavimas'!G105)</x:f>
        <x:v>46627</x:v>
      </x:c>
      <x:c r="E102" s="38" t="n">
        <x:v>200</x:v>
      </x:c>
      <x:c r="F102" s="13" t="n">
        <x:f>IF($A102="","",SUMIFS('5 Žaliavų perdavimai'!$E$4:$E$203,'5 Žaliavų perdavimai'!$D$4:$D$203,$B102))</x:f>
        <x:v>0</x:v>
      </x:c>
      <x:c r="G102" s="38" t="n">
        <x:v>0</x:v>
      </x:c>
      <x:c r="H102" s="38" t="n">
        <x:f t="shared" si="9"/>
        <x:v>200</x:v>
      </x:c>
      <x:c r="I102">
        <x:f t="shared" ca="1" si="10"/>
        <x:v>339</x:v>
      </x:c>
      <x:c r="J102" t="str">
        <x:f t="shared" ca="1" si="11"/>
        <x:v>OK</x:v>
      </x:c>
    </x:row>
    <x:row r="103">
      <x:c r="A103" t="str">
        <x:f>IF('1 Žaliavų gavimas'!B106="","",'1 Žaliavų gavimas'!B106)</x:f>
        <x:v>Cukrus</x:v>
      </x:c>
      <x:c r="B103" t="str">
        <x:f>IF($A103="","",'1 Žaliavų gavimas'!D106)</x:f>
        <x:v>Cuk0921</x:v>
      </x:c>
      <x:c r="C103" s="12" t="n">
        <x:f>IF($A103="","",'1 Žaliavų gavimas'!A106)</x:f>
        <x:v>46286</x:v>
      </x:c>
      <x:c r="D103" s="12" t="n">
        <x:f>IF($A103="","",'1 Žaliavų gavimas'!G106)</x:f>
        <x:v>46388</x:v>
      </x:c>
      <x:c r="E103" s="38" t="n">
        <x:v>100</x:v>
      </x:c>
      <x:c r="F103" s="13" t="n">
        <x:f>IF($A103="","",SUMIFS('5 Žaliavų perdavimai'!$E$4:$E$203,'5 Žaliavų perdavimai'!$D$4:$D$203,$B103))</x:f>
        <x:v>0</x:v>
      </x:c>
      <x:c r="G103" s="38" t="n">
        <x:v>0</x:v>
      </x:c>
      <x:c r="H103" s="38" t="n">
        <x:f t="shared" si="9"/>
        <x:v>100</x:v>
      </x:c>
      <x:c r="I103">
        <x:f t="shared" ca="1" si="10"/>
        <x:v>100</x:v>
      </x:c>
      <x:c r="J103" t="str">
        <x:f t="shared" ca="1" si="11"/>
        <x:v>OK</x:v>
      </x:c>
    </x:row>
    <x:row r="104">
      <x:c r="A104" t="str">
        <x:f>IF('1 Žaliavų gavimas'!B107="","",'1 Žaliavų gavimas'!B107)</x:f>
        <x:v>Margarinas Šakočiui "Alvas"</x:v>
      </x:c>
      <x:c r="B104" t="str">
        <x:f>IF($A104="","",'1 Žaliavų gavimas'!D107)</x:f>
        <x:v>MarA0922</x:v>
      </x:c>
      <x:c r="C104" s="12" t="n">
        <x:f>IF($A104="","",'1 Žaliavų gavimas'!A107)</x:f>
        <x:v>46287</x:v>
      </x:c>
      <x:c r="D104" s="12" t="n">
        <x:f>IF($A104="","",'1 Žaliavų gavimas'!G107)</x:f>
        <x:v>46322</x:v>
      </x:c>
      <x:c r="E104" s="38" t="n">
        <x:v>200</x:v>
      </x:c>
      <x:c r="F104" s="13" t="n">
        <x:f>IF($A104="","",SUMIFS('5 Žaliavų perdavimai'!$E$4:$E$203,'5 Žaliavų perdavimai'!$D$4:$D$203,$B104))</x:f>
        <x:v>0</x:v>
      </x:c>
      <x:c r="G104" s="38" t="n">
        <x:v>0</x:v>
      </x:c>
      <x:c r="H104" s="38" t="n">
        <x:f t="shared" si="9"/>
        <x:v>200</x:v>
      </x:c>
      <x:c r="I104">
        <x:f t="shared" ca="1" si="10"/>
        <x:v>34</x:v>
      </x:c>
      <x:c r="J104" t="str">
        <x:f t="shared" ca="1" si="11"/>
        <x:v>OK</x:v>
      </x:c>
    </x:row>
    <x:row r="105">
      <x:c r="A105" t="str">
        <x:f>IF('1 Žaliavų gavimas'!B108="","",'1 Žaliavų gavimas'!B108)</x:f>
        <x:v>Grietinės mišinys</x:v>
      </x:c>
      <x:c r="B105" t="str">
        <x:f>IF($A105="","",'1 Žaliavų gavimas'!D108)</x:f>
        <x:v>Gr0923</x:v>
      </x:c>
      <x:c r="C105" s="12" t="n">
        <x:f>IF($A105="","",'1 Žaliavų gavimas'!A108)</x:f>
        <x:v>46288</x:v>
      </x:c>
      <x:c r="D105" s="12" t="n">
        <x:f>IF($A105="","",'1 Žaliavų gavimas'!G108)</x:f>
        <x:v>46296</x:v>
      </x:c>
      <x:c r="E105" s="38" t="n">
        <x:v>2400</x:v>
      </x:c>
      <x:c r="F105" s="13" t="n">
        <x:f>IF($A105="","",SUMIFS('5 Žaliavų perdavimai'!$E$4:$E$203,'5 Žaliavų perdavimai'!$D$4:$D$203,$B105))</x:f>
        <x:v>0</x:v>
      </x:c>
      <x:c r="G105" s="38" t="n">
        <x:v>0</x:v>
      </x:c>
      <x:c r="H105" s="38" t="n">
        <x:f t="shared" si="9"/>
        <x:v>2400</x:v>
      </x:c>
      <x:c r="I105">
        <x:f t="shared" ca="1" si="10"/>
        <x:v>8</x:v>
      </x:c>
      <x:c r="J105" t="str">
        <x:f t="shared" ca="1" si="11"/>
        <x:v>OK</x:v>
      </x:c>
    </x:row>
    <x:row r="106">
      <x:c r="A106" t="str">
        <x:f>IF('1 Žaliavų gavimas'!B109="","",'1 Žaliavų gavimas'!B109)</x:f>
      </x:c>
      <x:c r="B106" t="str">
        <x:f>IF($A106="","",'1 Žaliavų gavimas'!D109)</x:f>
      </x:c>
      <x:c r="C106" s="12" t="str">
        <x:f>IF($A106="","",'1 Žaliavų gavimas'!A109)</x:f>
      </x:c>
      <x:c r="D106" s="12" t="str">
        <x:f>IF($A106="","",'1 Žaliavų gavimas'!G109)</x:f>
      </x:c>
      <x:c r="E106" s="38" t="n">
        <x:v>800</x:v>
      </x:c>
      <x:c r="F106" s="13" t="str">
        <x:f>IF($A106="","",SUMIFS('5 Žaliavų perdavimai'!$E$4:$E$203,'5 Žaliavų perdavimai'!$D$4:$D$203,$B106))</x:f>
      </x:c>
      <x:c r="G106" s="38" t="n">
        <x:v>0</x:v>
      </x:c>
      <x:c r="H106" s="38" t="n">
        <x:f t="shared" si="9"/>
        <x:v>800</x:v>
      </x:c>
      <x:c r="I106" t="str">
        <x:f t="shared" ca="1" si="10"/>
      </x:c>
      <x:c r="J106" t="str">
        <x:f t="shared" ca="1" si="11"/>
      </x:c>
    </x:row>
    <x:row r="107">
      <x:c r="A107" t="str">
        <x:f>IF('1 Žaliavų gavimas'!B110="","",'1 Žaliavų gavimas'!B110)</x:f>
      </x:c>
      <x:c r="B107" t="str">
        <x:f>IF($A107="","",'1 Žaliavų gavimas'!D110)</x:f>
      </x:c>
      <x:c r="C107" s="12" t="str">
        <x:f>IF($A107="","",'1 Žaliavų gavimas'!A110)</x:f>
      </x:c>
      <x:c r="D107" s="12" t="str">
        <x:f>IF($A107="","",'1 Žaliavų gavimas'!G110)</x:f>
      </x:c>
      <x:c r="E107" s="38" t="n">
        <x:v>2160</x:v>
      </x:c>
      <x:c r="F107" s="13" t="str">
        <x:f>IF($A107="","",SUMIFS('5 Žaliavų perdavimai'!$E$4:$E$203,'5 Žaliavų perdavimai'!$D$4:$D$203,$B107))</x:f>
      </x:c>
      <x:c r="G107" s="38" t="n">
        <x:v>0</x:v>
      </x:c>
      <x:c r="H107" s="38" t="n">
        <x:f t="shared" si="9"/>
        <x:v>2160</x:v>
      </x:c>
      <x:c r="I107" t="str">
        <x:f t="shared" ca="1" si="10"/>
      </x:c>
      <x:c r="J107" t="str">
        <x:f t="shared" ca="1" si="11"/>
      </x:c>
    </x:row>
    <x:row r="108">
      <x:c r="A108" t="str">
        <x:f>IF('1 Žaliavų gavimas'!B111="","",'1 Žaliavų gavimas'!B111)</x:f>
      </x:c>
      <x:c r="B108" t="str">
        <x:f>IF($A108="","",'1 Žaliavų gavimas'!D111)</x:f>
      </x:c>
      <x:c r="C108" s="12" t="str">
        <x:f>IF($A108="","",'1 Žaliavų gavimas'!A111)</x:f>
      </x:c>
      <x:c r="D108" s="12" t="str">
        <x:f>IF($A108="","",'1 Žaliavų gavimas'!G111)</x:f>
      </x:c>
      <x:c r="E108" s="38" t="n">
        <x:v>150</x:v>
      </x:c>
      <x:c r="F108" s="13" t="str">
        <x:f>IF($A108="","",SUMIFS('5 Žaliavų perdavimai'!$E$4:$E$203,'5 Žaliavų perdavimai'!$D$4:$D$203,$B108))</x:f>
      </x:c>
      <x:c r="G108" s="38" t="n">
        <x:v>0</x:v>
      </x:c>
      <x:c r="H108" s="38" t="n">
        <x:f t="shared" si="9"/>
        <x:v>150</x:v>
      </x:c>
      <x:c r="I108" t="str">
        <x:f t="shared" ca="1" si="10"/>
      </x:c>
      <x:c r="J108" t="str">
        <x:f t="shared" ca="1" si="11"/>
      </x:c>
    </x:row>
    <x:row r="109">
      <x:c r="A109" t="str">
        <x:f>IF('1 Žaliavų gavimas'!B112="","",'1 Žaliavų gavimas'!B112)</x:f>
      </x:c>
      <x:c r="B109" t="str">
        <x:f>IF($A109="","",'1 Žaliavų gavimas'!D112)</x:f>
      </x:c>
      <x:c r="C109" s="12" t="str">
        <x:f>IF($A109="","",'1 Žaliavų gavimas'!A112)</x:f>
      </x:c>
      <x:c r="D109" s="12" t="str">
        <x:f>IF($A109="","",'1 Žaliavų gavimas'!G112)</x:f>
      </x:c>
      <x:c r="E109" s="13" t="str">
        <x:f>IF($A109="","",'1 Žaliavų gavimas'!C112)</x:f>
      </x:c>
      <x:c r="F109" s="13" t="str">
        <x:f>IF($A109="","",SUMIFS('5 Žaliavų perdavimai'!$E$4:$E$203,'5 Žaliavų perdavimai'!$D$4:$D$203,$B109))</x:f>
      </x:c>
      <x:c r="G109" s="13" t="str">
        <x:f>IF($A109="","",SUMIFS('3 Sunaudojimas'!$H$4:$H$163,'3 Sunaudojimas'!$F$4:$F$163,$B109)+SUMIFS('3 Sunaudojimas'!$K$4:$K$163,'3 Sunaudojimas'!$I$4:$I$163,$B109)+SUMIFS('3 Sunaudojimas'!$N$4:$N$163,'3 Sunaudojimas'!$L$4:$L$163,$B109))</x:f>
      </x:c>
      <x:c r="H109" s="13" t="str">
        <x:f t="shared" si="9"/>
      </x:c>
      <x:c r="I109" t="str">
        <x:f t="shared" ca="1" si="10"/>
      </x:c>
      <x:c r="J109" t="str">
        <x:f t="shared" ca="1" si="11"/>
      </x:c>
    </x:row>
    <x:row r="110">
      <x:c r="A110" t="str">
        <x:f>IF('1 Žaliavų gavimas'!B113="","",'1 Žaliavų gavimas'!B113)</x:f>
      </x:c>
      <x:c r="B110" t="str">
        <x:f>IF($A110="","",'1 Žaliavų gavimas'!D113)</x:f>
      </x:c>
      <x:c r="C110" s="12" t="str">
        <x:f>IF($A110="","",'1 Žaliavų gavimas'!A113)</x:f>
      </x:c>
      <x:c r="D110" s="12" t="str">
        <x:f>IF($A110="","",'1 Žaliavų gavimas'!G113)</x:f>
      </x:c>
      <x:c r="E110" s="13" t="str">
        <x:f>IF($A110="","",'1 Žaliavų gavimas'!C113)</x:f>
      </x:c>
      <x:c r="F110" s="13" t="str">
        <x:f>IF($A110="","",SUMIFS('5 Žaliavų perdavimai'!$E$4:$E$203,'5 Žaliavų perdavimai'!$D$4:$D$203,$B110))</x:f>
      </x:c>
      <x:c r="G110" s="13" t="str">
        <x:f>IF($A110="","",SUMIFS('3 Sunaudojimas'!$H$4:$H$163,'3 Sunaudojimas'!$F$4:$F$163,$B110)+SUMIFS('3 Sunaudojimas'!$K$4:$K$163,'3 Sunaudojimas'!$I$4:$I$163,$B110)+SUMIFS('3 Sunaudojimas'!$N$4:$N$163,'3 Sunaudojimas'!$L$4:$L$163,$B110))</x:f>
      </x:c>
      <x:c r="H110" s="13" t="str">
        <x:f t="shared" si="9"/>
      </x:c>
      <x:c r="I110" t="str">
        <x:f t="shared" ca="1" si="10"/>
      </x:c>
      <x:c r="J110" t="str">
        <x:f t="shared" ca="1" si="11"/>
      </x:c>
    </x:row>
    <x:row r="111">
      <x:c r="A111" t="str">
        <x:f>IF('1 Žaliavų gavimas'!B114="","",'1 Žaliavų gavimas'!B114)</x:f>
      </x:c>
      <x:c r="B111" t="str">
        <x:f>IF($A111="","",'1 Žaliavų gavimas'!D114)</x:f>
      </x:c>
      <x:c r="C111" s="12" t="str">
        <x:f>IF($A111="","",'1 Žaliavų gavimas'!A114)</x:f>
      </x:c>
      <x:c r="D111" s="12" t="str">
        <x:f>IF($A111="","",'1 Žaliavų gavimas'!G114)</x:f>
      </x:c>
      <x:c r="E111" s="13" t="str">
        <x:f>IF($A111="","",'1 Žaliavų gavimas'!C114)</x:f>
      </x:c>
      <x:c r="F111" s="13" t="str">
        <x:f>IF($A111="","",SUMIFS('5 Žaliavų perdavimai'!$E$4:$E$203,'5 Žaliavų perdavimai'!$D$4:$D$203,$B111))</x:f>
      </x:c>
      <x:c r="G111" s="13" t="str">
        <x:f>IF($A111="","",SUMIFS('3 Sunaudojimas'!$H$4:$H$163,'3 Sunaudojimas'!$F$4:$F$163,$B111)+SUMIFS('3 Sunaudojimas'!$K$4:$K$163,'3 Sunaudojimas'!$I$4:$I$163,$B111)+SUMIFS('3 Sunaudojimas'!$N$4:$N$163,'3 Sunaudojimas'!$L$4:$L$163,$B111))</x:f>
      </x:c>
      <x:c r="H111" s="13" t="str">
        <x:f t="shared" si="9"/>
      </x:c>
      <x:c r="I111" t="str">
        <x:f t="shared" ca="1" si="10"/>
      </x:c>
      <x:c r="J111" t="str">
        <x:f t="shared" ca="1" si="11"/>
      </x:c>
    </x:row>
    <x:row r="112">
      <x:c r="A112" t="str">
        <x:f>IF('1 Žaliavų gavimas'!B115="","",'1 Žaliavų gavimas'!B115)</x:f>
      </x:c>
      <x:c r="B112" t="str">
        <x:f>IF($A112="","",'1 Žaliavų gavimas'!D115)</x:f>
      </x:c>
      <x:c r="C112" s="12" t="str">
        <x:f>IF($A112="","",'1 Žaliavų gavimas'!A115)</x:f>
      </x:c>
      <x:c r="D112" s="12" t="str">
        <x:f>IF($A112="","",'1 Žaliavų gavimas'!G115)</x:f>
      </x:c>
      <x:c r="E112" s="13" t="str">
        <x:f>IF($A112="","",'1 Žaliavų gavimas'!C115)</x:f>
      </x:c>
      <x:c r="F112" s="13" t="str">
        <x:f>IF($A112="","",SUMIFS('5 Žaliavų perdavimai'!$E$4:$E$203,'5 Žaliavų perdavimai'!$D$4:$D$203,$B112))</x:f>
      </x:c>
      <x:c r="G112" s="13" t="str">
        <x:f>IF($A112="","",SUMIFS('3 Sunaudojimas'!$H$4:$H$163,'3 Sunaudojimas'!$F$4:$F$163,$B112)+SUMIFS('3 Sunaudojimas'!$K$4:$K$163,'3 Sunaudojimas'!$I$4:$I$163,$B112)+SUMIFS('3 Sunaudojimas'!$N$4:$N$163,'3 Sunaudojimas'!$L$4:$L$163,$B112))</x:f>
      </x:c>
      <x:c r="H112" s="13" t="str">
        <x:f t="shared" si="9"/>
      </x:c>
      <x:c r="I112" t="str">
        <x:f t="shared" ca="1" si="10"/>
      </x:c>
      <x:c r="J112" t="str">
        <x:f t="shared" ca="1" si="11"/>
      </x:c>
    </x:row>
    <x:row r="113">
      <x:c r="A113" t="str">
        <x:f>IF('1 Žaliavų gavimas'!B116="","",'1 Žaliavų gavimas'!B116)</x:f>
      </x:c>
      <x:c r="B113" t="str">
        <x:f>IF($A113="","",'1 Žaliavų gavimas'!D116)</x:f>
      </x:c>
      <x:c r="C113" s="12" t="str">
        <x:f>IF($A113="","",'1 Žaliavų gavimas'!A116)</x:f>
      </x:c>
      <x:c r="D113" s="12" t="str">
        <x:f>IF($A113="","",'1 Žaliavų gavimas'!G116)</x:f>
      </x:c>
      <x:c r="E113" s="13" t="str">
        <x:f>IF($A113="","",'1 Žaliavų gavimas'!C116)</x:f>
      </x:c>
      <x:c r="F113" s="13" t="str">
        <x:f>IF($A113="","",SUMIFS('5 Žaliavų perdavimai'!$E$4:$E$203,'5 Žaliavų perdavimai'!$D$4:$D$203,$B113))</x:f>
      </x:c>
      <x:c r="G113" s="13" t="str">
        <x:f>IF($A113="","",SUMIFS('3 Sunaudojimas'!$H$4:$H$163,'3 Sunaudojimas'!$F$4:$F$163,$B113)+SUMIFS('3 Sunaudojimas'!$K$4:$K$163,'3 Sunaudojimas'!$I$4:$I$163,$B113)+SUMIFS('3 Sunaudojimas'!$N$4:$N$163,'3 Sunaudojimas'!$L$4:$L$163,$B113))</x:f>
      </x:c>
      <x:c r="H113" s="13" t="str">
        <x:f t="shared" si="9"/>
      </x:c>
      <x:c r="I113" t="str">
        <x:f t="shared" ca="1" si="10"/>
      </x:c>
      <x:c r="J113" t="str">
        <x:f t="shared" ca="1" si="11"/>
      </x:c>
    </x:row>
    <x:row r="114">
      <x:c r="A114" t="str">
        <x:f>IF('1 Žaliavų gavimas'!B117="","",'1 Žaliavų gavimas'!B117)</x:f>
      </x:c>
      <x:c r="B114" t="str">
        <x:f>IF($A114="","",'1 Žaliavų gavimas'!D117)</x:f>
      </x:c>
      <x:c r="C114" s="12" t="str">
        <x:f>IF($A114="","",'1 Žaliavų gavimas'!A117)</x:f>
      </x:c>
      <x:c r="D114" s="12" t="str">
        <x:f>IF($A114="","",'1 Žaliavų gavimas'!G117)</x:f>
      </x:c>
      <x:c r="E114" s="13" t="str">
        <x:f>IF($A114="","",'1 Žaliavų gavimas'!C117)</x:f>
      </x:c>
      <x:c r="F114" s="13" t="str">
        <x:f>IF($A114="","",SUMIFS('5 Žaliavų perdavimai'!$E$4:$E$203,'5 Žaliavų perdavimai'!$D$4:$D$203,$B114))</x:f>
      </x:c>
      <x:c r="G114" s="13" t="str">
        <x:f>IF($A114="","",SUMIFS('3 Sunaudojimas'!$H$4:$H$163,'3 Sunaudojimas'!$F$4:$F$163,$B114)+SUMIFS('3 Sunaudojimas'!$K$4:$K$163,'3 Sunaudojimas'!$I$4:$I$163,$B114)+SUMIFS('3 Sunaudojimas'!$N$4:$N$163,'3 Sunaudojimas'!$L$4:$L$163,$B114))</x:f>
      </x:c>
      <x:c r="H114" s="13" t="str">
        <x:f t="shared" si="9"/>
      </x:c>
      <x:c r="I114" t="str">
        <x:f t="shared" ca="1" si="10"/>
      </x:c>
      <x:c r="J114" t="str">
        <x:f t="shared" ca="1" si="11"/>
      </x:c>
    </x:row>
    <x:row r="115">
      <x:c r="A115" t="str">
        <x:f>IF('1 Žaliavų gavimas'!B118="","",'1 Žaliavų gavimas'!B118)</x:f>
      </x:c>
      <x:c r="B115" t="str">
        <x:f>IF($A115="","",'1 Žaliavų gavimas'!D118)</x:f>
      </x:c>
      <x:c r="C115" s="12" t="str">
        <x:f>IF($A115="","",'1 Žaliavų gavimas'!A118)</x:f>
      </x:c>
      <x:c r="D115" s="12" t="str">
        <x:f>IF($A115="","",'1 Žaliavų gavimas'!G118)</x:f>
      </x:c>
      <x:c r="E115" s="13" t="str">
        <x:f>IF($A115="","",'1 Žaliavų gavimas'!C118)</x:f>
      </x:c>
      <x:c r="F115" s="13" t="str">
        <x:f>IF($A115="","",SUMIFS('5 Žaliavų perdavimai'!$E$4:$E$203,'5 Žaliavų perdavimai'!$D$4:$D$203,$B115))</x:f>
      </x:c>
      <x:c r="G115" s="13" t="str">
        <x:f>IF($A115="","",SUMIFS('3 Sunaudojimas'!$H$4:$H$163,'3 Sunaudojimas'!$F$4:$F$163,$B115)+SUMIFS('3 Sunaudojimas'!$K$4:$K$163,'3 Sunaudojimas'!$I$4:$I$163,$B115)+SUMIFS('3 Sunaudojimas'!$N$4:$N$163,'3 Sunaudojimas'!$L$4:$L$163,$B115))</x:f>
      </x:c>
      <x:c r="H115" s="13" t="str">
        <x:f t="shared" si="9"/>
      </x:c>
      <x:c r="I115" t="str">
        <x:f t="shared" ca="1" si="10"/>
      </x:c>
      <x:c r="J115" t="str">
        <x:f t="shared" ca="1" si="11"/>
      </x:c>
    </x:row>
    <x:row r="116">
      <x:c r="A116" t="str">
        <x:f>IF('1 Žaliavų gavimas'!B119="","",'1 Žaliavų gavimas'!B119)</x:f>
      </x:c>
      <x:c r="B116" t="str">
        <x:f>IF($A116="","",'1 Žaliavų gavimas'!D119)</x:f>
      </x:c>
      <x:c r="C116" s="12" t="str">
        <x:f>IF($A116="","",'1 Žaliavų gavimas'!A119)</x:f>
      </x:c>
      <x:c r="D116" s="12" t="str">
        <x:f>IF($A116="","",'1 Žaliavų gavimas'!G119)</x:f>
      </x:c>
      <x:c r="E116" s="13" t="str">
        <x:f>IF($A116="","",'1 Žaliavų gavimas'!C119)</x:f>
      </x:c>
      <x:c r="F116" s="13" t="str">
        <x:f>IF($A116="","",SUMIFS('5 Žaliavų perdavimai'!$E$4:$E$203,'5 Žaliavų perdavimai'!$D$4:$D$203,$B116))</x:f>
      </x:c>
      <x:c r="G116" s="13" t="str">
        <x:f>IF($A116="","",SUMIFS('3 Sunaudojimas'!$H$4:$H$163,'3 Sunaudojimas'!$F$4:$F$163,$B116)+SUMIFS('3 Sunaudojimas'!$K$4:$K$163,'3 Sunaudojimas'!$I$4:$I$163,$B116)+SUMIFS('3 Sunaudojimas'!$N$4:$N$163,'3 Sunaudojimas'!$L$4:$L$163,$B116))</x:f>
      </x:c>
      <x:c r="H116" s="13" t="str">
        <x:f t="shared" si="9"/>
      </x:c>
      <x:c r="I116" t="str">
        <x:f t="shared" ca="1" si="10"/>
      </x:c>
      <x:c r="J116" t="str">
        <x:f t="shared" ca="1" si="11"/>
      </x:c>
    </x:row>
    <x:row r="117">
      <x:c r="A117" t="str">
        <x:f>IF('1 Žaliavų gavimas'!B120="","",'1 Žaliavų gavimas'!B120)</x:f>
      </x:c>
      <x:c r="B117" t="str">
        <x:f>IF($A117="","",'1 Žaliavų gavimas'!D120)</x:f>
      </x:c>
      <x:c r="C117" s="12" t="str">
        <x:f>IF($A117="","",'1 Žaliavų gavimas'!A120)</x:f>
      </x:c>
      <x:c r="D117" s="12" t="str">
        <x:f>IF($A117="","",'1 Žaliavų gavimas'!G120)</x:f>
      </x:c>
      <x:c r="E117" s="13" t="str">
        <x:f>IF($A117="","",'1 Žaliavų gavimas'!C120)</x:f>
      </x:c>
      <x:c r="F117" s="13" t="str">
        <x:f>IF($A117="","",SUMIFS('5 Žaliavų perdavimai'!$E$4:$E$203,'5 Žaliavų perdavimai'!$D$4:$D$203,$B117))</x:f>
      </x:c>
      <x:c r="G117" s="13" t="str">
        <x:f>IF($A117="","",SUMIFS('3 Sunaudojimas'!$H$4:$H$163,'3 Sunaudojimas'!$F$4:$F$163,$B117)+SUMIFS('3 Sunaudojimas'!$K$4:$K$163,'3 Sunaudojimas'!$I$4:$I$163,$B117)+SUMIFS('3 Sunaudojimas'!$N$4:$N$163,'3 Sunaudojimas'!$L$4:$L$163,$B117))</x:f>
      </x:c>
      <x:c r="H117" s="13" t="str">
        <x:f t="shared" si="9"/>
      </x:c>
      <x:c r="I117" t="str">
        <x:f t="shared" ca="1" si="10"/>
      </x:c>
      <x:c r="J117" t="str">
        <x:f t="shared" ca="1" si="11"/>
      </x:c>
    </x:row>
    <x:row r="118">
      <x:c r="A118" t="str">
        <x:f>IF('1 Žaliavų gavimas'!B121="","",'1 Žaliavų gavimas'!B121)</x:f>
      </x:c>
      <x:c r="B118" t="str">
        <x:f>IF($A118="","",'1 Žaliavų gavimas'!D121)</x:f>
      </x:c>
      <x:c r="C118" s="12" t="str">
        <x:f>IF($A118="","",'1 Žaliavų gavimas'!A121)</x:f>
      </x:c>
      <x:c r="D118" s="12" t="str">
        <x:f>IF($A118="","",'1 Žaliavų gavimas'!G121)</x:f>
      </x:c>
      <x:c r="E118" s="13" t="str">
        <x:f>IF($A118="","",'1 Žaliavų gavimas'!C121)</x:f>
      </x:c>
      <x:c r="F118" s="13" t="str">
        <x:f>IF($A118="","",SUMIFS('5 Žaliavų perdavimai'!$E$4:$E$203,'5 Žaliavų perdavimai'!$D$4:$D$203,$B118))</x:f>
      </x:c>
      <x:c r="G118" s="13" t="str">
        <x:f>IF($A118="","",SUMIFS('3 Sunaudojimas'!$H$4:$H$163,'3 Sunaudojimas'!$F$4:$F$163,$B118)+SUMIFS('3 Sunaudojimas'!$K$4:$K$163,'3 Sunaudojimas'!$I$4:$I$163,$B118)+SUMIFS('3 Sunaudojimas'!$N$4:$N$163,'3 Sunaudojimas'!$L$4:$L$163,$B118))</x:f>
      </x:c>
      <x:c r="H118" s="13" t="str">
        <x:f t="shared" si="9"/>
      </x:c>
      <x:c r="I118" t="str">
        <x:f t="shared" ca="1" si="10"/>
      </x:c>
      <x:c r="J118" t="str">
        <x:f t="shared" ca="1" si="11"/>
      </x:c>
    </x:row>
    <x:row r="119">
      <x:c r="A119" t="str">
        <x:f>IF('1 Žaliavų gavimas'!B122="","",'1 Žaliavų gavimas'!B122)</x:f>
      </x:c>
      <x:c r="B119" t="str">
        <x:f>IF($A119="","",'1 Žaliavų gavimas'!D122)</x:f>
      </x:c>
      <x:c r="C119" s="12" t="str">
        <x:f>IF($A119="","",'1 Žaliavų gavimas'!A122)</x:f>
      </x:c>
      <x:c r="D119" s="12" t="str">
        <x:f>IF($A119="","",'1 Žaliavų gavimas'!G122)</x:f>
      </x:c>
      <x:c r="E119" s="13" t="str">
        <x:f>IF($A119="","",'1 Žaliavų gavimas'!C122)</x:f>
      </x:c>
      <x:c r="F119" s="13" t="str">
        <x:f>IF($A119="","",SUMIFS('5 Žaliavų perdavimai'!$E$4:$E$203,'5 Žaliavų perdavimai'!$D$4:$D$203,$B119))</x:f>
      </x:c>
      <x:c r="G119" s="13" t="str">
        <x:f>IF($A119="","",SUMIFS('3 Sunaudojimas'!$H$4:$H$163,'3 Sunaudojimas'!$F$4:$F$163,$B119)+SUMIFS('3 Sunaudojimas'!$K$4:$K$163,'3 Sunaudojimas'!$I$4:$I$163,$B119)+SUMIFS('3 Sunaudojimas'!$N$4:$N$163,'3 Sunaudojimas'!$L$4:$L$163,$B119))</x:f>
      </x:c>
      <x:c r="H119" s="13" t="str">
        <x:f t="shared" si="9"/>
      </x:c>
      <x:c r="I119" t="str">
        <x:f t="shared" ca="1" si="10"/>
      </x:c>
      <x:c r="J119" t="str">
        <x:f t="shared" ca="1" si="11"/>
      </x:c>
    </x:row>
    <x:row r="120">
      <x:c r="A120" t="str">
        <x:f>IF('1 Žaliavų gavimas'!B123="","",'1 Žaliavų gavimas'!B123)</x:f>
      </x:c>
      <x:c r="B120" t="str">
        <x:f>IF($A120="","",'1 Žaliavų gavimas'!D123)</x:f>
      </x:c>
      <x:c r="C120" s="12" t="str">
        <x:f>IF($A120="","",'1 Žaliavų gavimas'!A123)</x:f>
      </x:c>
      <x:c r="D120" s="12" t="str">
        <x:f>IF($A120="","",'1 Žaliavų gavimas'!G123)</x:f>
      </x:c>
      <x:c r="E120" s="13" t="str">
        <x:f>IF($A120="","",'1 Žaliavų gavimas'!C123)</x:f>
      </x:c>
      <x:c r="F120" s="13" t="str">
        <x:f>IF($A120="","",SUMIFS('5 Žaliavų perdavimai'!$E$4:$E$203,'5 Žaliavų perdavimai'!$D$4:$D$203,$B120))</x:f>
      </x:c>
      <x:c r="G120" s="13" t="str">
        <x:f>IF($A120="","",SUMIFS('3 Sunaudojimas'!$H$4:$H$163,'3 Sunaudojimas'!$F$4:$F$163,$B120)+SUMIFS('3 Sunaudojimas'!$K$4:$K$163,'3 Sunaudojimas'!$I$4:$I$163,$B120)+SUMIFS('3 Sunaudojimas'!$N$4:$N$163,'3 Sunaudojimas'!$L$4:$L$163,$B120))</x:f>
      </x:c>
      <x:c r="H120" s="13" t="str">
        <x:f t="shared" si="9"/>
      </x:c>
      <x:c r="I120" t="str">
        <x:f t="shared" ca="1" si="10"/>
      </x:c>
      <x:c r="J120" t="str">
        <x:f t="shared" ca="1" si="11"/>
      </x:c>
    </x:row>
    <x:row r="121">
      <x:c r="A121" t="str">
        <x:f>IF('1 Žaliavų gavimas'!B124="","",'1 Žaliavų gavimas'!B124)</x:f>
      </x:c>
      <x:c r="B121" t="str">
        <x:f>IF($A121="","",'1 Žaliavų gavimas'!D124)</x:f>
      </x:c>
      <x:c r="C121" s="12" t="str">
        <x:f>IF($A121="","",'1 Žaliavų gavimas'!A124)</x:f>
      </x:c>
      <x:c r="D121" s="12" t="str">
        <x:f>IF($A121="","",'1 Žaliavų gavimas'!G124)</x:f>
      </x:c>
      <x:c r="E121" s="13" t="str">
        <x:f>IF($A121="","",'1 Žaliavų gavimas'!C124)</x:f>
      </x:c>
      <x:c r="F121" s="13" t="str">
        <x:f>IF($A121="","",SUMIFS('5 Žaliavų perdavimai'!$E$4:$E$203,'5 Žaliavų perdavimai'!$D$4:$D$203,$B121))</x:f>
      </x:c>
      <x:c r="G121" s="13" t="str">
        <x:f>IF($A121="","",SUMIFS('3 Sunaudojimas'!$H$4:$H$163,'3 Sunaudojimas'!$F$4:$F$163,$B121)+SUMIFS('3 Sunaudojimas'!$K$4:$K$163,'3 Sunaudojimas'!$I$4:$I$163,$B121)+SUMIFS('3 Sunaudojimas'!$N$4:$N$163,'3 Sunaudojimas'!$L$4:$L$163,$B121))</x:f>
      </x:c>
      <x:c r="H121" s="13" t="str">
        <x:f t="shared" si="9"/>
      </x:c>
      <x:c r="I121" t="str">
        <x:f t="shared" ca="1" si="10"/>
      </x:c>
      <x:c r="J121" t="str">
        <x:f t="shared" ca="1" si="11"/>
      </x:c>
    </x:row>
    <x:row r="122">
      <x:c r="A122" t="str">
        <x:f>IF('1 Žaliavų gavimas'!B125="","",'1 Žaliavų gavimas'!B125)</x:f>
      </x:c>
      <x:c r="B122" t="str">
        <x:f>IF($A122="","",'1 Žaliavų gavimas'!D125)</x:f>
      </x:c>
      <x:c r="C122" s="12" t="str">
        <x:f>IF($A122="","",'1 Žaliavų gavimas'!A125)</x:f>
      </x:c>
      <x:c r="D122" s="12" t="str">
        <x:f>IF($A122="","",'1 Žaliavų gavimas'!G125)</x:f>
      </x:c>
      <x:c r="E122" s="13" t="str">
        <x:f>IF($A122="","",'1 Žaliavų gavimas'!C125)</x:f>
      </x:c>
      <x:c r="F122" s="13" t="str">
        <x:f>IF($A122="","",SUMIFS('5 Žaliavų perdavimai'!$E$4:$E$203,'5 Žaliavų perdavimai'!$D$4:$D$203,$B122))</x:f>
      </x:c>
      <x:c r="G122" s="13" t="str">
        <x:f>IF($A122="","",SUMIFS('3 Sunaudojimas'!$H$4:$H$163,'3 Sunaudojimas'!$F$4:$F$163,$B122)+SUMIFS('3 Sunaudojimas'!$K$4:$K$163,'3 Sunaudojimas'!$I$4:$I$163,$B122)+SUMIFS('3 Sunaudojimas'!$N$4:$N$163,'3 Sunaudojimas'!$L$4:$L$163,$B122))</x:f>
      </x:c>
      <x:c r="H122" s="13" t="str">
        <x:f t="shared" si="9"/>
      </x:c>
      <x:c r="I122" t="str">
        <x:f t="shared" ca="1" si="10"/>
      </x:c>
      <x:c r="J122" t="str">
        <x:f t="shared" ca="1" si="11"/>
      </x:c>
    </x:row>
    <x:row r="123">
      <x:c r="A123" t="str">
        <x:f>IF('1 Žaliavų gavimas'!B126="","",'1 Žaliavų gavimas'!B126)</x:f>
      </x:c>
      <x:c r="B123" t="str">
        <x:f>IF($A123="","",'1 Žaliavų gavimas'!D126)</x:f>
      </x:c>
      <x:c r="C123" s="12" t="str">
        <x:f>IF($A123="","",'1 Žaliavų gavimas'!A126)</x:f>
      </x:c>
      <x:c r="D123" s="12" t="str">
        <x:f>IF($A123="","",'1 Žaliavų gavimas'!G126)</x:f>
      </x:c>
      <x:c r="E123" s="13" t="str">
        <x:f>IF($A123="","",'1 Žaliavų gavimas'!C126)</x:f>
      </x:c>
      <x:c r="F123" s="13" t="str">
        <x:f>IF($A123="","",SUMIFS('5 Žaliavų perdavimai'!$E$4:$E$203,'5 Žaliavų perdavimai'!$D$4:$D$203,$B123))</x:f>
      </x:c>
      <x:c r="G123" s="13" t="str">
        <x:f>IF($A123="","",SUMIFS('3 Sunaudojimas'!$H$4:$H$163,'3 Sunaudojimas'!$F$4:$F$163,$B123)+SUMIFS('3 Sunaudojimas'!$K$4:$K$163,'3 Sunaudojimas'!$I$4:$I$163,$B123)+SUMIFS('3 Sunaudojimas'!$N$4:$N$163,'3 Sunaudojimas'!$L$4:$L$163,$B123))</x:f>
      </x:c>
      <x:c r="H123" s="13" t="str">
        <x:f t="shared" si="9"/>
      </x:c>
      <x:c r="I123" t="str">
        <x:f t="shared" ca="1" si="10"/>
      </x:c>
      <x:c r="J123" t="str">
        <x:f t="shared" ca="1" si="11"/>
      </x:c>
    </x:row>
    <x:row r="124">
      <x:c r="A124" t="str">
        <x:f>IF('1 Žaliavų gavimas'!B127="","",'1 Žaliavų gavimas'!B127)</x:f>
      </x:c>
      <x:c r="B124" t="str">
        <x:f>IF($A124="","",'1 Žaliavų gavimas'!D127)</x:f>
      </x:c>
      <x:c r="C124" s="12" t="str">
        <x:f>IF($A124="","",'1 Žaliavų gavimas'!A127)</x:f>
      </x:c>
      <x:c r="D124" s="12" t="str">
        <x:f>IF($A124="","",'1 Žaliavų gavimas'!G127)</x:f>
      </x:c>
      <x:c r="E124" s="13" t="str">
        <x:f>IF($A124="","",'1 Žaliavų gavimas'!C127)</x:f>
      </x:c>
      <x:c r="F124" s="13" t="str">
        <x:f>IF($A124="","",SUMIFS('5 Žaliavų perdavimai'!$E$4:$E$203,'5 Žaliavų perdavimai'!$D$4:$D$203,$B124))</x:f>
      </x:c>
      <x:c r="G124" s="13" t="str">
        <x:f>IF($A124="","",SUMIFS('3 Sunaudojimas'!$H$4:$H$163,'3 Sunaudojimas'!$F$4:$F$163,$B124)+SUMIFS('3 Sunaudojimas'!$K$4:$K$163,'3 Sunaudojimas'!$I$4:$I$163,$B124)+SUMIFS('3 Sunaudojimas'!$N$4:$N$163,'3 Sunaudojimas'!$L$4:$L$163,$B124))</x:f>
      </x:c>
      <x:c r="H124" s="13" t="str">
        <x:f t="shared" si="9"/>
      </x:c>
      <x:c r="I124" t="str">
        <x:f t="shared" ca="1" si="10"/>
      </x:c>
      <x:c r="J124" t="str">
        <x:f t="shared" ca="1" si="11"/>
      </x:c>
    </x:row>
    <x:row r="125">
      <x:c r="A125" t="str">
        <x:f>IF('1 Žaliavų gavimas'!B128="","",'1 Žaliavų gavimas'!B128)</x:f>
      </x:c>
      <x:c r="B125" t="str">
        <x:f>IF($A125="","",'1 Žaliavų gavimas'!D128)</x:f>
      </x:c>
      <x:c r="C125" s="12" t="str">
        <x:f>IF($A125="","",'1 Žaliavų gavimas'!A128)</x:f>
      </x:c>
      <x:c r="D125" s="12" t="str">
        <x:f>IF($A125="","",'1 Žaliavų gavimas'!G128)</x:f>
      </x:c>
      <x:c r="E125" s="13" t="str">
        <x:f>IF($A125="","",'1 Žaliavų gavimas'!C128)</x:f>
      </x:c>
      <x:c r="F125" s="13" t="str">
        <x:f>IF($A125="","",SUMIFS('5 Žaliavų perdavimai'!$E$4:$E$203,'5 Žaliavų perdavimai'!$D$4:$D$203,$B125))</x:f>
      </x:c>
      <x:c r="G125" s="13" t="str">
        <x:f>IF($A125="","",SUMIFS('3 Sunaudojimas'!$H$4:$H$163,'3 Sunaudojimas'!$F$4:$F$163,$B125)+SUMIFS('3 Sunaudojimas'!$K$4:$K$163,'3 Sunaudojimas'!$I$4:$I$163,$B125)+SUMIFS('3 Sunaudojimas'!$N$4:$N$163,'3 Sunaudojimas'!$L$4:$L$163,$B125))</x:f>
      </x:c>
      <x:c r="H125" s="13" t="str">
        <x:f t="shared" si="9"/>
      </x:c>
      <x:c r="I125" t="str">
        <x:f t="shared" ca="1" si="10"/>
      </x:c>
      <x:c r="J125" t="str">
        <x:f t="shared" ca="1" si="11"/>
      </x:c>
    </x:row>
    <x:row r="126">
      <x:c r="A126" t="str">
        <x:f>IF('1 Žaliavų gavimas'!B129="","",'1 Žaliavų gavimas'!B129)</x:f>
      </x:c>
      <x:c r="B126" t="str">
        <x:f>IF($A126="","",'1 Žaliavų gavimas'!D129)</x:f>
      </x:c>
      <x:c r="C126" s="12" t="str">
        <x:f>IF($A126="","",'1 Žaliavų gavimas'!A129)</x:f>
      </x:c>
      <x:c r="D126" s="12" t="str">
        <x:f>IF($A126="","",'1 Žaliavų gavimas'!G129)</x:f>
      </x:c>
      <x:c r="E126" s="13" t="str">
        <x:f>IF($A126="","",'1 Žaliavų gavimas'!C129)</x:f>
      </x:c>
      <x:c r="F126" s="13" t="str">
        <x:f>IF($A126="","",SUMIFS('5 Žaliavų perdavimai'!$E$4:$E$203,'5 Žaliavų perdavimai'!$D$4:$D$203,$B126))</x:f>
      </x:c>
      <x:c r="G126" s="13" t="str">
        <x:f>IF($A126="","",SUMIFS('3 Sunaudojimas'!$H$4:$H$163,'3 Sunaudojimas'!$F$4:$F$163,$B126)+SUMIFS('3 Sunaudojimas'!$K$4:$K$163,'3 Sunaudojimas'!$I$4:$I$163,$B126)+SUMIFS('3 Sunaudojimas'!$N$4:$N$163,'3 Sunaudojimas'!$L$4:$L$163,$B126))</x:f>
      </x:c>
      <x:c r="H126" s="13" t="str">
        <x:f t="shared" si="9"/>
      </x:c>
      <x:c r="I126" t="str">
        <x:f t="shared" ca="1" si="10"/>
      </x:c>
      <x:c r="J126" t="str">
        <x:f t="shared" ca="1" si="11"/>
      </x:c>
    </x:row>
    <x:row r="127">
      <x:c r="A127" t="str">
        <x:f>IF('1 Žaliavų gavimas'!B130="","",'1 Žaliavų gavimas'!B130)</x:f>
      </x:c>
      <x:c r="B127" t="str">
        <x:f>IF($A127="","",'1 Žaliavų gavimas'!D130)</x:f>
      </x:c>
      <x:c r="C127" s="12" t="str">
        <x:f>IF($A127="","",'1 Žaliavų gavimas'!A130)</x:f>
      </x:c>
      <x:c r="D127" s="12" t="str">
        <x:f>IF($A127="","",'1 Žaliavų gavimas'!G130)</x:f>
      </x:c>
      <x:c r="E127" s="13" t="str">
        <x:f>IF($A127="","",'1 Žaliavų gavimas'!C130)</x:f>
      </x:c>
      <x:c r="F127" s="13" t="str">
        <x:f>IF($A127="","",SUMIFS('5 Žaliavų perdavimai'!$E$4:$E$203,'5 Žaliavų perdavimai'!$D$4:$D$203,$B127))</x:f>
      </x:c>
      <x:c r="G127" s="13" t="str">
        <x:f>IF($A127="","",SUMIFS('3 Sunaudojimas'!$H$4:$H$163,'3 Sunaudojimas'!$F$4:$F$163,$B127)+SUMIFS('3 Sunaudojimas'!$K$4:$K$163,'3 Sunaudojimas'!$I$4:$I$163,$B127)+SUMIFS('3 Sunaudojimas'!$N$4:$N$163,'3 Sunaudojimas'!$L$4:$L$163,$B127))</x:f>
      </x:c>
      <x:c r="H127" s="13" t="str">
        <x:f t="shared" si="9"/>
      </x:c>
      <x:c r="I127" t="str">
        <x:f t="shared" ca="1" si="10"/>
      </x:c>
      <x:c r="J127" t="str">
        <x:f t="shared" ca="1" si="11"/>
      </x:c>
    </x:row>
    <x:row r="128">
      <x:c r="A128" t="str">
        <x:f>IF('1 Žaliavų gavimas'!B131="","",'1 Žaliavų gavimas'!B131)</x:f>
      </x:c>
      <x:c r="B128" t="str">
        <x:f>IF($A128="","",'1 Žaliavų gavimas'!D131)</x:f>
      </x:c>
      <x:c r="C128" s="12" t="str">
        <x:f>IF($A128="","",'1 Žaliavų gavimas'!A131)</x:f>
      </x:c>
      <x:c r="D128" s="12" t="str">
        <x:f>IF($A128="","",'1 Žaliavų gavimas'!G131)</x:f>
      </x:c>
      <x:c r="E128" s="13" t="str">
        <x:f>IF($A128="","",'1 Žaliavų gavimas'!C131)</x:f>
      </x:c>
      <x:c r="F128" s="13" t="str">
        <x:f>IF($A128="","",SUMIFS('5 Žaliavų perdavimai'!$E$4:$E$203,'5 Žaliavų perdavimai'!$D$4:$D$203,$B128))</x:f>
      </x:c>
      <x:c r="G128" s="13" t="str">
        <x:f>IF($A128="","",SUMIFS('3 Sunaudojimas'!$H$4:$H$163,'3 Sunaudojimas'!$F$4:$F$163,$B128)+SUMIFS('3 Sunaudojimas'!$K$4:$K$163,'3 Sunaudojimas'!$I$4:$I$163,$B128)+SUMIFS('3 Sunaudojimas'!$N$4:$N$163,'3 Sunaudojimas'!$L$4:$L$163,$B128))</x:f>
      </x:c>
      <x:c r="H128" s="13" t="str">
        <x:f t="shared" si="9"/>
      </x:c>
      <x:c r="I128" t="str">
        <x:f t="shared" ca="1" si="10"/>
      </x:c>
      <x:c r="J128" t="str">
        <x:f t="shared" ca="1" si="11"/>
      </x:c>
    </x:row>
    <x:row r="129">
      <x:c r="A129" t="str">
        <x:f>IF('1 Žaliavų gavimas'!B132="","",'1 Žaliavų gavimas'!B132)</x:f>
      </x:c>
      <x:c r="B129" t="str">
        <x:f>IF($A129="","",'1 Žaliavų gavimas'!D132)</x:f>
      </x:c>
      <x:c r="C129" s="12" t="str">
        <x:f>IF($A129="","",'1 Žaliavų gavimas'!A132)</x:f>
      </x:c>
      <x:c r="D129" s="12" t="str">
        <x:f>IF($A129="","",'1 Žaliavų gavimas'!G132)</x:f>
      </x:c>
      <x:c r="E129" s="13" t="str">
        <x:f>IF($A129="","",'1 Žaliavų gavimas'!C132)</x:f>
      </x:c>
      <x:c r="F129" s="13" t="str">
        <x:f>IF($A129="","",SUMIFS('5 Žaliavų perdavimai'!$E$4:$E$203,'5 Žaliavų perdavimai'!$D$4:$D$203,$B129))</x:f>
      </x:c>
      <x:c r="G129" s="13" t="str">
        <x:f>IF($A129="","",SUMIFS('3 Sunaudojimas'!$H$4:$H$163,'3 Sunaudojimas'!$F$4:$F$163,$B129)+SUMIFS('3 Sunaudojimas'!$K$4:$K$163,'3 Sunaudojimas'!$I$4:$I$163,$B129)+SUMIFS('3 Sunaudojimas'!$N$4:$N$163,'3 Sunaudojimas'!$L$4:$L$163,$B129))</x:f>
      </x:c>
      <x:c r="H129" s="13" t="str">
        <x:f t="shared" si="9"/>
      </x:c>
      <x:c r="I129" t="str">
        <x:f t="shared" ca="1" si="10"/>
      </x:c>
      <x:c r="J129" t="str">
        <x:f t="shared" ca="1" si="11"/>
      </x:c>
    </x:row>
    <x:row r="130">
      <x:c r="A130" t="str">
        <x:f>IF('1 Žaliavų gavimas'!B133="","",'1 Žaliavų gavimas'!B133)</x:f>
      </x:c>
      <x:c r="B130" t="str">
        <x:f>IF($A130="","",'1 Žaliavų gavimas'!D133)</x:f>
      </x:c>
      <x:c r="C130" s="12" t="str">
        <x:f>IF($A130="","",'1 Žaliavų gavimas'!A133)</x:f>
      </x:c>
      <x:c r="D130" s="12" t="str">
        <x:f>IF($A130="","",'1 Žaliavų gavimas'!G133)</x:f>
      </x:c>
      <x:c r="E130" s="13" t="str">
        <x:f>IF($A130="","",'1 Žaliavų gavimas'!C133)</x:f>
      </x:c>
      <x:c r="F130" s="13" t="str">
        <x:f>IF($A130="","",SUMIFS('5 Žaliavų perdavimai'!$E$4:$E$203,'5 Žaliavų perdavimai'!$D$4:$D$203,$B130))</x:f>
      </x:c>
      <x:c r="G130" s="13" t="str">
        <x:f>IF($A130="","",SUMIFS('3 Sunaudojimas'!$H$4:$H$163,'3 Sunaudojimas'!$F$4:$F$163,$B130)+SUMIFS('3 Sunaudojimas'!$K$4:$K$163,'3 Sunaudojimas'!$I$4:$I$163,$B130)+SUMIFS('3 Sunaudojimas'!$N$4:$N$163,'3 Sunaudojimas'!$L$4:$L$163,$B130))</x:f>
      </x:c>
      <x:c r="H130" s="13" t="str">
        <x:f t="shared" si="9"/>
      </x:c>
      <x:c r="I130" t="str">
        <x:f t="shared" ca="1" si="10"/>
      </x:c>
      <x:c r="J130" t="str">
        <x:f t="shared" ca="1" si="11"/>
      </x:c>
    </x:row>
    <x:row r="131">
      <x:c r="A131" t="str">
        <x:f>IF('1 Žaliavų gavimas'!B134="","",'1 Žaliavų gavimas'!B134)</x:f>
      </x:c>
      <x:c r="B131" t="str">
        <x:f>IF($A131="","",'1 Žaliavų gavimas'!D134)</x:f>
      </x:c>
      <x:c r="C131" s="12" t="str">
        <x:f>IF($A131="","",'1 Žaliavų gavimas'!A134)</x:f>
      </x:c>
      <x:c r="D131" s="12" t="str">
        <x:f>IF($A131="","",'1 Žaliavų gavimas'!G134)</x:f>
      </x:c>
      <x:c r="E131" s="13" t="str">
        <x:f>IF($A131="","",'1 Žaliavų gavimas'!C134)</x:f>
      </x:c>
      <x:c r="F131" s="13" t="str">
        <x:f>IF($A131="","",SUMIFS('5 Žaliavų perdavimai'!$E$4:$E$203,'5 Žaliavų perdavimai'!$D$4:$D$203,$B131))</x:f>
      </x:c>
      <x:c r="G131" s="13" t="str">
        <x:f>IF($A131="","",SUMIFS('3 Sunaudojimas'!$H$4:$H$163,'3 Sunaudojimas'!$F$4:$F$163,$B131)+SUMIFS('3 Sunaudojimas'!$K$4:$K$163,'3 Sunaudojimas'!$I$4:$I$163,$B131)+SUMIFS('3 Sunaudojimas'!$N$4:$N$163,'3 Sunaudojimas'!$L$4:$L$163,$B131))</x:f>
      </x:c>
      <x:c r="H131" s="13" t="str">
        <x:f t="shared" si="9"/>
      </x:c>
      <x:c r="I131" t="str">
        <x:f t="shared" ca="1" si="10"/>
      </x:c>
      <x:c r="J131" t="str">
        <x:f t="shared" ca="1" si="11"/>
      </x:c>
    </x:row>
    <x:row r="132">
      <x:c r="A132" t="str">
        <x:f>IF('1 Žaliavų gavimas'!B135="","",'1 Žaliavų gavimas'!B135)</x:f>
      </x:c>
      <x:c r="B132" t="str">
        <x:f>IF($A132="","",'1 Žaliavų gavimas'!D135)</x:f>
      </x:c>
      <x:c r="C132" s="12" t="str">
        <x:f>IF($A132="","",'1 Žaliavų gavimas'!A135)</x:f>
      </x:c>
      <x:c r="D132" s="12" t="str">
        <x:f>IF($A132="","",'1 Žaliavų gavimas'!G135)</x:f>
      </x:c>
      <x:c r="E132" s="13" t="str">
        <x:f>IF($A132="","",'1 Žaliavų gavimas'!C135)</x:f>
      </x:c>
      <x:c r="F132" s="13" t="str">
        <x:f>IF($A132="","",SUMIFS('5 Žaliavų perdavimai'!$E$4:$E$203,'5 Žaliavų perdavimai'!$D$4:$D$203,$B132))</x:f>
      </x:c>
      <x:c r="G132" s="13" t="str">
        <x:f>IF($A132="","",SUMIFS('3 Sunaudojimas'!$H$4:$H$163,'3 Sunaudojimas'!$F$4:$F$163,$B132)+SUMIFS('3 Sunaudojimas'!$K$4:$K$163,'3 Sunaudojimas'!$I$4:$I$163,$B132)+SUMIFS('3 Sunaudojimas'!$N$4:$N$163,'3 Sunaudojimas'!$L$4:$L$163,$B132))</x:f>
      </x:c>
      <x:c r="H132" s="13" t="str">
        <x:f t="shared" ref="H132:H163" si="12">IF($A132="","",$E132-$F132-$G132)</x:f>
      </x:c>
      <x:c r="I132" t="str">
        <x:f t="shared" ref="I132:I163" ca="1" si="13">IF(OR($A132="",$D132=""),"",$D132-TODAY())</x:f>
      </x:c>
      <x:c r="J132" t="str">
        <x:f t="shared" ref="J132:J163" ca="1" si="14">IF($A132="","",IF($H132&lt;-0.001,"KONFLIKTAS – VIRŠYTAS LIKUTIS",IF($H132&lt;=0.001,"IŠNAUDOTA",IF($D132="","GALIOJIMAS NENURODYTAS",IF($D132&lt;TODAY(),"PASIBAIGĘS",IF($D132&lt;=TODAY()+3,"BAIGIASI ≤3 D.",IF($D132&lt;=TODAY()+7,"BAIGIASI ≤7 D.","OK")))))))</x:f>
      </x:c>
    </x:row>
    <x:row r="133">
      <x:c r="A133" t="str">
        <x:f>IF('1 Žaliavų gavimas'!B136="","",'1 Žaliavų gavimas'!B136)</x:f>
      </x:c>
      <x:c r="B133" t="str">
        <x:f>IF($A133="","",'1 Žaliavų gavimas'!D136)</x:f>
      </x:c>
      <x:c r="C133" s="12" t="str">
        <x:f>IF($A133="","",'1 Žaliavų gavimas'!A136)</x:f>
      </x:c>
      <x:c r="D133" s="12" t="str">
        <x:f>IF($A133="","",'1 Žaliavų gavimas'!G136)</x:f>
      </x:c>
      <x:c r="E133" s="13" t="str">
        <x:f>IF($A133="","",'1 Žaliavų gavimas'!C136)</x:f>
      </x:c>
      <x:c r="F133" s="13" t="str">
        <x:f>IF($A133="","",SUMIFS('5 Žaliavų perdavimai'!$E$4:$E$203,'5 Žaliavų perdavimai'!$D$4:$D$203,$B133))</x:f>
      </x:c>
      <x:c r="G133" s="13" t="str">
        <x:f>IF($A133="","",SUMIFS('3 Sunaudojimas'!$H$4:$H$163,'3 Sunaudojimas'!$F$4:$F$163,$B133)+SUMIFS('3 Sunaudojimas'!$K$4:$K$163,'3 Sunaudojimas'!$I$4:$I$163,$B133)+SUMIFS('3 Sunaudojimas'!$N$4:$N$163,'3 Sunaudojimas'!$L$4:$L$163,$B133))</x:f>
      </x:c>
      <x:c r="H133" s="13" t="str">
        <x:f t="shared" si="12"/>
      </x:c>
      <x:c r="I133" t="str">
        <x:f t="shared" ca="1" si="13"/>
      </x:c>
      <x:c r="J133" t="str">
        <x:f t="shared" ca="1" si="14"/>
      </x:c>
    </x:row>
    <x:row r="134">
      <x:c r="A134" t="str">
        <x:f>IF('1 Žaliavų gavimas'!B137="","",'1 Žaliavų gavimas'!B137)</x:f>
      </x:c>
      <x:c r="B134" t="str">
        <x:f>IF($A134="","",'1 Žaliavų gavimas'!D137)</x:f>
      </x:c>
      <x:c r="C134" s="12" t="str">
        <x:f>IF($A134="","",'1 Žaliavų gavimas'!A137)</x:f>
      </x:c>
      <x:c r="D134" s="12" t="str">
        <x:f>IF($A134="","",'1 Žaliavų gavimas'!G137)</x:f>
      </x:c>
      <x:c r="E134" s="13" t="str">
        <x:f>IF($A134="","",'1 Žaliavų gavimas'!C137)</x:f>
      </x:c>
      <x:c r="F134" s="13" t="str">
        <x:f>IF($A134="","",SUMIFS('5 Žaliavų perdavimai'!$E$4:$E$203,'5 Žaliavų perdavimai'!$D$4:$D$203,$B134))</x:f>
      </x:c>
      <x:c r="G134" s="13" t="str">
        <x:f>IF($A134="","",SUMIFS('3 Sunaudojimas'!$H$4:$H$163,'3 Sunaudojimas'!$F$4:$F$163,$B134)+SUMIFS('3 Sunaudojimas'!$K$4:$K$163,'3 Sunaudojimas'!$I$4:$I$163,$B134)+SUMIFS('3 Sunaudojimas'!$N$4:$N$163,'3 Sunaudojimas'!$L$4:$L$163,$B134))</x:f>
      </x:c>
      <x:c r="H134" s="13" t="str">
        <x:f t="shared" si="12"/>
      </x:c>
      <x:c r="I134" t="str">
        <x:f t="shared" ca="1" si="13"/>
      </x:c>
      <x:c r="J134" t="str">
        <x:f t="shared" ca="1" si="14"/>
      </x:c>
    </x:row>
    <x:row r="135">
      <x:c r="A135" t="str">
        <x:f>IF('1 Žaliavų gavimas'!B138="","",'1 Žaliavų gavimas'!B138)</x:f>
      </x:c>
      <x:c r="B135" t="str">
        <x:f>IF($A135="","",'1 Žaliavų gavimas'!D138)</x:f>
      </x:c>
      <x:c r="C135" s="12" t="str">
        <x:f>IF($A135="","",'1 Žaliavų gavimas'!A138)</x:f>
      </x:c>
      <x:c r="D135" s="12" t="str">
        <x:f>IF($A135="","",'1 Žaliavų gavimas'!G138)</x:f>
      </x:c>
      <x:c r="E135" s="13" t="str">
        <x:f>IF($A135="","",'1 Žaliavų gavimas'!C138)</x:f>
      </x:c>
      <x:c r="F135" s="13" t="str">
        <x:f>IF($A135="","",SUMIFS('5 Žaliavų perdavimai'!$E$4:$E$203,'5 Žaliavų perdavimai'!$D$4:$D$203,$B135))</x:f>
      </x:c>
      <x:c r="G135" s="13" t="str">
        <x:f>IF($A135="","",SUMIFS('3 Sunaudojimas'!$H$4:$H$163,'3 Sunaudojimas'!$F$4:$F$163,$B135)+SUMIFS('3 Sunaudojimas'!$K$4:$K$163,'3 Sunaudojimas'!$I$4:$I$163,$B135)+SUMIFS('3 Sunaudojimas'!$N$4:$N$163,'3 Sunaudojimas'!$L$4:$L$163,$B135))</x:f>
      </x:c>
      <x:c r="H135" s="13" t="str">
        <x:f t="shared" si="12"/>
      </x:c>
      <x:c r="I135" t="str">
        <x:f t="shared" ca="1" si="13"/>
      </x:c>
      <x:c r="J135" t="str">
        <x:f t="shared" ca="1" si="14"/>
      </x:c>
    </x:row>
    <x:row r="136">
      <x:c r="A136" t="str">
        <x:f>IF('1 Žaliavų gavimas'!B139="","",'1 Žaliavų gavimas'!B139)</x:f>
      </x:c>
      <x:c r="B136" t="str">
        <x:f>IF($A136="","",'1 Žaliavų gavimas'!D139)</x:f>
      </x:c>
      <x:c r="C136" s="12" t="str">
        <x:f>IF($A136="","",'1 Žaliavų gavimas'!A139)</x:f>
      </x:c>
      <x:c r="D136" s="12" t="str">
        <x:f>IF($A136="","",'1 Žaliavų gavimas'!G139)</x:f>
      </x:c>
      <x:c r="E136" s="13" t="str">
        <x:f>IF($A136="","",'1 Žaliavų gavimas'!C139)</x:f>
      </x:c>
      <x:c r="F136" s="13" t="str">
        <x:f>IF($A136="","",SUMIFS('5 Žaliavų perdavimai'!$E$4:$E$203,'5 Žaliavų perdavimai'!$D$4:$D$203,$B136))</x:f>
      </x:c>
      <x:c r="G136" s="13" t="str">
        <x:f>IF($A136="","",SUMIFS('3 Sunaudojimas'!$H$4:$H$163,'3 Sunaudojimas'!$F$4:$F$163,$B136)+SUMIFS('3 Sunaudojimas'!$K$4:$K$163,'3 Sunaudojimas'!$I$4:$I$163,$B136)+SUMIFS('3 Sunaudojimas'!$N$4:$N$163,'3 Sunaudojimas'!$L$4:$L$163,$B136))</x:f>
      </x:c>
      <x:c r="H136" s="13" t="str">
        <x:f t="shared" si="12"/>
      </x:c>
      <x:c r="I136" t="str">
        <x:f t="shared" ca="1" si="13"/>
      </x:c>
      <x:c r="J136" t="str">
        <x:f t="shared" ca="1" si="14"/>
      </x:c>
    </x:row>
    <x:row r="137">
      <x:c r="A137" t="str">
        <x:f>IF('1 Žaliavų gavimas'!B140="","",'1 Žaliavų gavimas'!B140)</x:f>
      </x:c>
      <x:c r="B137" t="str">
        <x:f>IF($A137="","",'1 Žaliavų gavimas'!D140)</x:f>
      </x:c>
      <x:c r="C137" s="12" t="str">
        <x:f>IF($A137="","",'1 Žaliavų gavimas'!A140)</x:f>
      </x:c>
      <x:c r="D137" s="12" t="str">
        <x:f>IF($A137="","",'1 Žaliavų gavimas'!G140)</x:f>
      </x:c>
      <x:c r="E137" s="13" t="str">
        <x:f>IF($A137="","",'1 Žaliavų gavimas'!C140)</x:f>
      </x:c>
      <x:c r="F137" s="13" t="str">
        <x:f>IF($A137="","",SUMIFS('5 Žaliavų perdavimai'!$E$4:$E$203,'5 Žaliavų perdavimai'!$D$4:$D$203,$B137))</x:f>
      </x:c>
      <x:c r="G137" s="13" t="str">
        <x:f>IF($A137="","",SUMIFS('3 Sunaudojimas'!$H$4:$H$163,'3 Sunaudojimas'!$F$4:$F$163,$B137)+SUMIFS('3 Sunaudojimas'!$K$4:$K$163,'3 Sunaudojimas'!$I$4:$I$163,$B137)+SUMIFS('3 Sunaudojimas'!$N$4:$N$163,'3 Sunaudojimas'!$L$4:$L$163,$B137))</x:f>
      </x:c>
      <x:c r="H137" s="13" t="str">
        <x:f t="shared" si="12"/>
      </x:c>
      <x:c r="I137" t="str">
        <x:f t="shared" ca="1" si="13"/>
      </x:c>
      <x:c r="J137" t="str">
        <x:f t="shared" ca="1" si="14"/>
      </x:c>
    </x:row>
    <x:row r="138">
      <x:c r="A138" t="str">
        <x:f>IF('1 Žaliavų gavimas'!B141="","",'1 Žaliavų gavimas'!B141)</x:f>
      </x:c>
      <x:c r="B138" t="str">
        <x:f>IF($A138="","",'1 Žaliavų gavimas'!D141)</x:f>
      </x:c>
      <x:c r="C138" s="12" t="str">
        <x:f>IF($A138="","",'1 Žaliavų gavimas'!A141)</x:f>
      </x:c>
      <x:c r="D138" s="12" t="str">
        <x:f>IF($A138="","",'1 Žaliavų gavimas'!G141)</x:f>
      </x:c>
      <x:c r="E138" s="13" t="str">
        <x:f>IF($A138="","",'1 Žaliavų gavimas'!C141)</x:f>
      </x:c>
      <x:c r="F138" s="13" t="str">
        <x:f>IF($A138="","",SUMIFS('5 Žaliavų perdavimai'!$E$4:$E$203,'5 Žaliavų perdavimai'!$D$4:$D$203,$B138))</x:f>
      </x:c>
      <x:c r="G138" s="13" t="str">
        <x:f>IF($A138="","",SUMIFS('3 Sunaudojimas'!$H$4:$H$163,'3 Sunaudojimas'!$F$4:$F$163,$B138)+SUMIFS('3 Sunaudojimas'!$K$4:$K$163,'3 Sunaudojimas'!$I$4:$I$163,$B138)+SUMIFS('3 Sunaudojimas'!$N$4:$N$163,'3 Sunaudojimas'!$L$4:$L$163,$B138))</x:f>
      </x:c>
      <x:c r="H138" s="13" t="str">
        <x:f t="shared" si="12"/>
      </x:c>
      <x:c r="I138" t="str">
        <x:f t="shared" ca="1" si="13"/>
      </x:c>
      <x:c r="J138" t="str">
        <x:f t="shared" ca="1" si="14"/>
      </x:c>
    </x:row>
    <x:row r="139">
      <x:c r="A139" t="str">
        <x:f>IF('1 Žaliavų gavimas'!B142="","",'1 Žaliavų gavimas'!B142)</x:f>
      </x:c>
      <x:c r="B139" t="str">
        <x:f>IF($A139="","",'1 Žaliavų gavimas'!D142)</x:f>
      </x:c>
      <x:c r="C139" s="12" t="str">
        <x:f>IF($A139="","",'1 Žaliavų gavimas'!A142)</x:f>
      </x:c>
      <x:c r="D139" s="12" t="str">
        <x:f>IF($A139="","",'1 Žaliavų gavimas'!G142)</x:f>
      </x:c>
      <x:c r="E139" s="13" t="str">
        <x:f>IF($A139="","",'1 Žaliavų gavimas'!C142)</x:f>
      </x:c>
      <x:c r="F139" s="13" t="str">
        <x:f>IF($A139="","",SUMIFS('5 Žaliavų perdavimai'!$E$4:$E$203,'5 Žaliavų perdavimai'!$D$4:$D$203,$B139))</x:f>
      </x:c>
      <x:c r="G139" s="13" t="str">
        <x:f>IF($A139="","",SUMIFS('3 Sunaudojimas'!$H$4:$H$163,'3 Sunaudojimas'!$F$4:$F$163,$B139)+SUMIFS('3 Sunaudojimas'!$K$4:$K$163,'3 Sunaudojimas'!$I$4:$I$163,$B139)+SUMIFS('3 Sunaudojimas'!$N$4:$N$163,'3 Sunaudojimas'!$L$4:$L$163,$B139))</x:f>
      </x:c>
      <x:c r="H139" s="13" t="str">
        <x:f t="shared" si="12"/>
      </x:c>
      <x:c r="I139" t="str">
        <x:f t="shared" ca="1" si="13"/>
      </x:c>
      <x:c r="J139" t="str">
        <x:f t="shared" ca="1" si="14"/>
      </x:c>
    </x:row>
    <x:row r="140">
      <x:c r="A140" t="str">
        <x:f>IF('1 Žaliavų gavimas'!B143="","",'1 Žaliavų gavimas'!B143)</x:f>
      </x:c>
      <x:c r="B140" t="str">
        <x:f>IF($A140="","",'1 Žaliavų gavimas'!D143)</x:f>
      </x:c>
      <x:c r="C140" s="12" t="str">
        <x:f>IF($A140="","",'1 Žaliavų gavimas'!A143)</x:f>
      </x:c>
      <x:c r="D140" s="12" t="str">
        <x:f>IF($A140="","",'1 Žaliavų gavimas'!G143)</x:f>
      </x:c>
      <x:c r="E140" s="13" t="str">
        <x:f>IF($A140="","",'1 Žaliavų gavimas'!C143)</x:f>
      </x:c>
      <x:c r="F140" s="13" t="str">
        <x:f>IF($A140="","",SUMIFS('5 Žaliavų perdavimai'!$E$4:$E$203,'5 Žaliavų perdavimai'!$D$4:$D$203,$B140))</x:f>
      </x:c>
      <x:c r="G140" s="13" t="str">
        <x:f>IF($A140="","",SUMIFS('3 Sunaudojimas'!$H$4:$H$163,'3 Sunaudojimas'!$F$4:$F$163,$B140)+SUMIFS('3 Sunaudojimas'!$K$4:$K$163,'3 Sunaudojimas'!$I$4:$I$163,$B140)+SUMIFS('3 Sunaudojimas'!$N$4:$N$163,'3 Sunaudojimas'!$L$4:$L$163,$B140))</x:f>
      </x:c>
      <x:c r="H140" s="13" t="str">
        <x:f t="shared" si="12"/>
      </x:c>
      <x:c r="I140" t="str">
        <x:f t="shared" ca="1" si="13"/>
      </x:c>
      <x:c r="J140" t="str">
        <x:f t="shared" ca="1" si="14"/>
      </x:c>
    </x:row>
    <x:row r="141">
      <x:c r="A141" t="str">
        <x:f>IF('1 Žaliavų gavimas'!B144="","",'1 Žaliavų gavimas'!B144)</x:f>
      </x:c>
      <x:c r="B141" t="str">
        <x:f>IF($A141="","",'1 Žaliavų gavimas'!D144)</x:f>
      </x:c>
      <x:c r="C141" s="12" t="str">
        <x:f>IF($A141="","",'1 Žaliavų gavimas'!A144)</x:f>
      </x:c>
      <x:c r="D141" s="12" t="str">
        <x:f>IF($A141="","",'1 Žaliavų gavimas'!G144)</x:f>
      </x:c>
      <x:c r="E141" s="13" t="str">
        <x:f>IF($A141="","",'1 Žaliavų gavimas'!C144)</x:f>
      </x:c>
      <x:c r="F141" s="13" t="str">
        <x:f>IF($A141="","",SUMIFS('5 Žaliavų perdavimai'!$E$4:$E$203,'5 Žaliavų perdavimai'!$D$4:$D$203,$B141))</x:f>
      </x:c>
      <x:c r="G141" s="13" t="str">
        <x:f>IF($A141="","",SUMIFS('3 Sunaudojimas'!$H$4:$H$163,'3 Sunaudojimas'!$F$4:$F$163,$B141)+SUMIFS('3 Sunaudojimas'!$K$4:$K$163,'3 Sunaudojimas'!$I$4:$I$163,$B141)+SUMIFS('3 Sunaudojimas'!$N$4:$N$163,'3 Sunaudojimas'!$L$4:$L$163,$B141))</x:f>
      </x:c>
      <x:c r="H141" s="13" t="str">
        <x:f t="shared" si="12"/>
      </x:c>
      <x:c r="I141" t="str">
        <x:f t="shared" ca="1" si="13"/>
      </x:c>
      <x:c r="J141" t="str">
        <x:f t="shared" ca="1" si="14"/>
      </x:c>
    </x:row>
    <x:row r="142">
      <x:c r="A142" t="str">
        <x:f>IF('1 Žaliavų gavimas'!B145="","",'1 Žaliavų gavimas'!B145)</x:f>
      </x:c>
      <x:c r="B142" t="str">
        <x:f>IF($A142="","",'1 Žaliavų gavimas'!D145)</x:f>
      </x:c>
      <x:c r="C142" s="12" t="str">
        <x:f>IF($A142="","",'1 Žaliavų gavimas'!A145)</x:f>
      </x:c>
      <x:c r="D142" s="12" t="str">
        <x:f>IF($A142="","",'1 Žaliavų gavimas'!G145)</x:f>
      </x:c>
      <x:c r="E142" s="13" t="str">
        <x:f>IF($A142="","",'1 Žaliavų gavimas'!C145)</x:f>
      </x:c>
      <x:c r="F142" s="13" t="str">
        <x:f>IF($A142="","",SUMIFS('5 Žaliavų perdavimai'!$E$4:$E$203,'5 Žaliavų perdavimai'!$D$4:$D$203,$B142))</x:f>
      </x:c>
      <x:c r="G142" s="13" t="str">
        <x:f>IF($A142="","",SUMIFS('3 Sunaudojimas'!$H$4:$H$163,'3 Sunaudojimas'!$F$4:$F$163,$B142)+SUMIFS('3 Sunaudojimas'!$K$4:$K$163,'3 Sunaudojimas'!$I$4:$I$163,$B142)+SUMIFS('3 Sunaudojimas'!$N$4:$N$163,'3 Sunaudojimas'!$L$4:$L$163,$B142))</x:f>
      </x:c>
      <x:c r="H142" s="13" t="str">
        <x:f t="shared" si="12"/>
      </x:c>
      <x:c r="I142" t="str">
        <x:f t="shared" ca="1" si="13"/>
      </x:c>
      <x:c r="J142" t="str">
        <x:f t="shared" ca="1" si="14"/>
      </x:c>
    </x:row>
    <x:row r="143">
      <x:c r="A143" t="str">
        <x:f>IF('1 Žaliavų gavimas'!B146="","",'1 Žaliavų gavimas'!B146)</x:f>
      </x:c>
      <x:c r="B143" t="str">
        <x:f>IF($A143="","",'1 Žaliavų gavimas'!D146)</x:f>
      </x:c>
      <x:c r="C143" s="12" t="str">
        <x:f>IF($A143="","",'1 Žaliavų gavimas'!A146)</x:f>
      </x:c>
      <x:c r="D143" s="12" t="str">
        <x:f>IF($A143="","",'1 Žaliavų gavimas'!G146)</x:f>
      </x:c>
      <x:c r="E143" s="13" t="str">
        <x:f>IF($A143="","",'1 Žaliavų gavimas'!C146)</x:f>
      </x:c>
      <x:c r="F143" s="13" t="str">
        <x:f>IF($A143="","",SUMIFS('5 Žaliavų perdavimai'!$E$4:$E$203,'5 Žaliavų perdavimai'!$D$4:$D$203,$B143))</x:f>
      </x:c>
      <x:c r="G143" s="13" t="str">
        <x:f>IF($A143="","",SUMIFS('3 Sunaudojimas'!$H$4:$H$163,'3 Sunaudojimas'!$F$4:$F$163,$B143)+SUMIFS('3 Sunaudojimas'!$K$4:$K$163,'3 Sunaudojimas'!$I$4:$I$163,$B143)+SUMIFS('3 Sunaudojimas'!$N$4:$N$163,'3 Sunaudojimas'!$L$4:$L$163,$B143))</x:f>
      </x:c>
      <x:c r="H143" s="13" t="str">
        <x:f t="shared" si="12"/>
      </x:c>
      <x:c r="I143" t="str">
        <x:f t="shared" ca="1" si="13"/>
      </x:c>
      <x:c r="J143" t="str">
        <x:f t="shared" ca="1" si="14"/>
      </x:c>
    </x:row>
    <x:row r="144">
      <x:c r="A144" t="str">
        <x:f>IF('1 Žaliavų gavimas'!B147="","",'1 Žaliavų gavimas'!B147)</x:f>
      </x:c>
      <x:c r="B144" t="str">
        <x:f>IF($A144="","",'1 Žaliavų gavimas'!D147)</x:f>
      </x:c>
      <x:c r="C144" s="12" t="str">
        <x:f>IF($A144="","",'1 Žaliavų gavimas'!A147)</x:f>
      </x:c>
      <x:c r="D144" s="12" t="str">
        <x:f>IF($A144="","",'1 Žaliavų gavimas'!G147)</x:f>
      </x:c>
      <x:c r="E144" s="13" t="str">
        <x:f>IF($A144="","",'1 Žaliavų gavimas'!C147)</x:f>
      </x:c>
      <x:c r="F144" s="13" t="str">
        <x:f>IF($A144="","",SUMIFS('5 Žaliavų perdavimai'!$E$4:$E$203,'5 Žaliavų perdavimai'!$D$4:$D$203,$B144))</x:f>
      </x:c>
      <x:c r="G144" s="13" t="str">
        <x:f>IF($A144="","",SUMIFS('3 Sunaudojimas'!$H$4:$H$163,'3 Sunaudojimas'!$F$4:$F$163,$B144)+SUMIFS('3 Sunaudojimas'!$K$4:$K$163,'3 Sunaudojimas'!$I$4:$I$163,$B144)+SUMIFS('3 Sunaudojimas'!$N$4:$N$163,'3 Sunaudojimas'!$L$4:$L$163,$B144))</x:f>
      </x:c>
      <x:c r="H144" s="13" t="str">
        <x:f t="shared" si="12"/>
      </x:c>
      <x:c r="I144" t="str">
        <x:f t="shared" ca="1" si="13"/>
      </x:c>
      <x:c r="J144" t="str">
        <x:f t="shared" ca="1" si="14"/>
      </x:c>
    </x:row>
    <x:row r="145">
      <x:c r="A145" t="str">
        <x:f>IF('1 Žaliavų gavimas'!B148="","",'1 Žaliavų gavimas'!B148)</x:f>
      </x:c>
      <x:c r="B145" t="str">
        <x:f>IF($A145="","",'1 Žaliavų gavimas'!D148)</x:f>
      </x:c>
      <x:c r="C145" s="12" t="str">
        <x:f>IF($A145="","",'1 Žaliavų gavimas'!A148)</x:f>
      </x:c>
      <x:c r="D145" s="12" t="str">
        <x:f>IF($A145="","",'1 Žaliavų gavimas'!G148)</x:f>
      </x:c>
      <x:c r="E145" s="13" t="str">
        <x:f>IF($A145="","",'1 Žaliavų gavimas'!C148)</x:f>
      </x:c>
      <x:c r="F145" s="13" t="str">
        <x:f>IF($A145="","",SUMIFS('5 Žaliavų perdavimai'!$E$4:$E$203,'5 Žaliavų perdavimai'!$D$4:$D$203,$B145))</x:f>
      </x:c>
      <x:c r="G145" s="13" t="str">
        <x:f>IF($A145="","",SUMIFS('3 Sunaudojimas'!$H$4:$H$163,'3 Sunaudojimas'!$F$4:$F$163,$B145)+SUMIFS('3 Sunaudojimas'!$K$4:$K$163,'3 Sunaudojimas'!$I$4:$I$163,$B145)+SUMIFS('3 Sunaudojimas'!$N$4:$N$163,'3 Sunaudojimas'!$L$4:$L$163,$B145))</x:f>
      </x:c>
      <x:c r="H145" s="13" t="str">
        <x:f t="shared" si="12"/>
      </x:c>
      <x:c r="I145" t="str">
        <x:f t="shared" ca="1" si="13"/>
      </x:c>
      <x:c r="J145" t="str">
        <x:f t="shared" ca="1" si="14"/>
      </x:c>
    </x:row>
    <x:row r="146">
      <x:c r="A146" t="str">
        <x:f>IF('1 Žaliavų gavimas'!B149="","",'1 Žaliavų gavimas'!B149)</x:f>
      </x:c>
      <x:c r="B146" t="str">
        <x:f>IF($A146="","",'1 Žaliavų gavimas'!D149)</x:f>
      </x:c>
      <x:c r="C146" s="12" t="str">
        <x:f>IF($A146="","",'1 Žaliavų gavimas'!A149)</x:f>
      </x:c>
      <x:c r="D146" s="12" t="str">
        <x:f>IF($A146="","",'1 Žaliavų gavimas'!G149)</x:f>
      </x:c>
      <x:c r="E146" s="13" t="str">
        <x:f>IF($A146="","",'1 Žaliavų gavimas'!C149)</x:f>
      </x:c>
      <x:c r="F146" s="13" t="str">
        <x:f>IF($A146="","",SUMIFS('5 Žaliavų perdavimai'!$E$4:$E$203,'5 Žaliavų perdavimai'!$D$4:$D$203,$B146))</x:f>
      </x:c>
      <x:c r="G146" s="13" t="str">
        <x:f>IF($A146="","",SUMIFS('3 Sunaudojimas'!$H$4:$H$163,'3 Sunaudojimas'!$F$4:$F$163,$B146)+SUMIFS('3 Sunaudojimas'!$K$4:$K$163,'3 Sunaudojimas'!$I$4:$I$163,$B146)+SUMIFS('3 Sunaudojimas'!$N$4:$N$163,'3 Sunaudojimas'!$L$4:$L$163,$B146))</x:f>
      </x:c>
      <x:c r="H146" s="13" t="str">
        <x:f t="shared" si="12"/>
      </x:c>
      <x:c r="I146" t="str">
        <x:f t="shared" ca="1" si="13"/>
      </x:c>
      <x:c r="J146" t="str">
        <x:f t="shared" ca="1" si="14"/>
      </x:c>
    </x:row>
    <x:row r="147">
      <x:c r="A147" t="str">
        <x:f>IF('1 Žaliavų gavimas'!B150="","",'1 Žaliavų gavimas'!B150)</x:f>
      </x:c>
      <x:c r="B147" t="str">
        <x:f>IF($A147="","",'1 Žaliavų gavimas'!D150)</x:f>
      </x:c>
      <x:c r="C147" s="12" t="str">
        <x:f>IF($A147="","",'1 Žaliavų gavimas'!A150)</x:f>
      </x:c>
      <x:c r="D147" s="12" t="str">
        <x:f>IF($A147="","",'1 Žaliavų gavimas'!G150)</x:f>
      </x:c>
      <x:c r="E147" s="13" t="str">
        <x:f>IF($A147="","",'1 Žaliavų gavimas'!C150)</x:f>
      </x:c>
      <x:c r="F147" s="13" t="str">
        <x:f>IF($A147="","",SUMIFS('5 Žaliavų perdavimai'!$E$4:$E$203,'5 Žaliavų perdavimai'!$D$4:$D$203,$B147))</x:f>
      </x:c>
      <x:c r="G147" s="13" t="str">
        <x:f>IF($A147="","",SUMIFS('3 Sunaudojimas'!$H$4:$H$163,'3 Sunaudojimas'!$F$4:$F$163,$B147)+SUMIFS('3 Sunaudojimas'!$K$4:$K$163,'3 Sunaudojimas'!$I$4:$I$163,$B147)+SUMIFS('3 Sunaudojimas'!$N$4:$N$163,'3 Sunaudojimas'!$L$4:$L$163,$B147))</x:f>
      </x:c>
      <x:c r="H147" s="13" t="str">
        <x:f t="shared" si="12"/>
      </x:c>
      <x:c r="I147" t="str">
        <x:f t="shared" ca="1" si="13"/>
      </x:c>
      <x:c r="J147" t="str">
        <x:f t="shared" ca="1" si="14"/>
      </x:c>
    </x:row>
    <x:row r="148">
      <x:c r="A148" t="str">
        <x:f>IF('1 Žaliavų gavimas'!B151="","",'1 Žaliavų gavimas'!B151)</x:f>
      </x:c>
      <x:c r="B148" t="str">
        <x:f>IF($A148="","",'1 Žaliavų gavimas'!D151)</x:f>
      </x:c>
      <x:c r="C148" s="12" t="str">
        <x:f>IF($A148="","",'1 Žaliavų gavimas'!A151)</x:f>
      </x:c>
      <x:c r="D148" s="12" t="str">
        <x:f>IF($A148="","",'1 Žaliavų gavimas'!G151)</x:f>
      </x:c>
      <x:c r="E148" s="13" t="str">
        <x:f>IF($A148="","",'1 Žaliavų gavimas'!C151)</x:f>
      </x:c>
      <x:c r="F148" s="13" t="str">
        <x:f>IF($A148="","",SUMIFS('5 Žaliavų perdavimai'!$E$4:$E$203,'5 Žaliavų perdavimai'!$D$4:$D$203,$B148))</x:f>
      </x:c>
      <x:c r="G148" s="13" t="str">
        <x:f>IF($A148="","",SUMIFS('3 Sunaudojimas'!$H$4:$H$163,'3 Sunaudojimas'!$F$4:$F$163,$B148)+SUMIFS('3 Sunaudojimas'!$K$4:$K$163,'3 Sunaudojimas'!$I$4:$I$163,$B148)+SUMIFS('3 Sunaudojimas'!$N$4:$N$163,'3 Sunaudojimas'!$L$4:$L$163,$B148))</x:f>
      </x:c>
      <x:c r="H148" s="13" t="str">
        <x:f t="shared" si="12"/>
      </x:c>
      <x:c r="I148" t="str">
        <x:f t="shared" ca="1" si="13"/>
      </x:c>
      <x:c r="J148" t="str">
        <x:f t="shared" ca="1" si="14"/>
      </x:c>
    </x:row>
    <x:row r="149">
      <x:c r="A149" t="str">
        <x:f>IF('1 Žaliavų gavimas'!B152="","",'1 Žaliavų gavimas'!B152)</x:f>
      </x:c>
      <x:c r="B149" t="str">
        <x:f>IF($A149="","",'1 Žaliavų gavimas'!D152)</x:f>
      </x:c>
      <x:c r="C149" s="12" t="str">
        <x:f>IF($A149="","",'1 Žaliavų gavimas'!A152)</x:f>
      </x:c>
      <x:c r="D149" s="12" t="str">
        <x:f>IF($A149="","",'1 Žaliavų gavimas'!G152)</x:f>
      </x:c>
      <x:c r="E149" s="13" t="str">
        <x:f>IF($A149="","",'1 Žaliavų gavimas'!C152)</x:f>
      </x:c>
      <x:c r="F149" s="13" t="str">
        <x:f>IF($A149="","",SUMIFS('5 Žaliavų perdavimai'!$E$4:$E$203,'5 Žaliavų perdavimai'!$D$4:$D$203,$B149))</x:f>
      </x:c>
      <x:c r="G149" s="13" t="str">
        <x:f>IF($A149="","",SUMIFS('3 Sunaudojimas'!$H$4:$H$163,'3 Sunaudojimas'!$F$4:$F$163,$B149)+SUMIFS('3 Sunaudojimas'!$K$4:$K$163,'3 Sunaudojimas'!$I$4:$I$163,$B149)+SUMIFS('3 Sunaudojimas'!$N$4:$N$163,'3 Sunaudojimas'!$L$4:$L$163,$B149))</x:f>
      </x:c>
      <x:c r="H149" s="13" t="str">
        <x:f t="shared" si="12"/>
      </x:c>
      <x:c r="I149" t="str">
        <x:f t="shared" ca="1" si="13"/>
      </x:c>
      <x:c r="J149" t="str">
        <x:f t="shared" ca="1" si="14"/>
      </x:c>
    </x:row>
    <x:row r="150">
      <x:c r="A150" t="str">
        <x:f>IF('1 Žaliavų gavimas'!B153="","",'1 Žaliavų gavimas'!B153)</x:f>
      </x:c>
      <x:c r="B150" t="str">
        <x:f>IF($A150="","",'1 Žaliavų gavimas'!D153)</x:f>
      </x:c>
      <x:c r="C150" s="12" t="str">
        <x:f>IF($A150="","",'1 Žaliavų gavimas'!A153)</x:f>
      </x:c>
      <x:c r="D150" s="12" t="str">
        <x:f>IF($A150="","",'1 Žaliavų gavimas'!G153)</x:f>
      </x:c>
      <x:c r="E150" s="13" t="str">
        <x:f>IF($A150="","",'1 Žaliavų gavimas'!C153)</x:f>
      </x:c>
      <x:c r="F150" s="13" t="str">
        <x:f>IF($A150="","",SUMIFS('5 Žaliavų perdavimai'!$E$4:$E$203,'5 Žaliavų perdavimai'!$D$4:$D$203,$B150))</x:f>
      </x:c>
      <x:c r="G150" s="13" t="str">
        <x:f>IF($A150="","",SUMIFS('3 Sunaudojimas'!$H$4:$H$163,'3 Sunaudojimas'!$F$4:$F$163,$B150)+SUMIFS('3 Sunaudojimas'!$K$4:$K$163,'3 Sunaudojimas'!$I$4:$I$163,$B150)+SUMIFS('3 Sunaudojimas'!$N$4:$N$163,'3 Sunaudojimas'!$L$4:$L$163,$B150))</x:f>
      </x:c>
      <x:c r="H150" s="13" t="str">
        <x:f t="shared" si="12"/>
      </x:c>
      <x:c r="I150" t="str">
        <x:f t="shared" ca="1" si="13"/>
      </x:c>
      <x:c r="J150" t="str">
        <x:f t="shared" ca="1" si="14"/>
      </x:c>
    </x:row>
    <x:row r="151">
      <x:c r="A151" t="str">
        <x:f>IF('1 Žaliavų gavimas'!B154="","",'1 Žaliavų gavimas'!B154)</x:f>
      </x:c>
      <x:c r="B151" t="str">
        <x:f>IF($A151="","",'1 Žaliavų gavimas'!D154)</x:f>
      </x:c>
      <x:c r="C151" s="12" t="str">
        <x:f>IF($A151="","",'1 Žaliavų gavimas'!A154)</x:f>
      </x:c>
      <x:c r="D151" s="12" t="str">
        <x:f>IF($A151="","",'1 Žaliavų gavimas'!G154)</x:f>
      </x:c>
      <x:c r="E151" s="13" t="str">
        <x:f>IF($A151="","",'1 Žaliavų gavimas'!C154)</x:f>
      </x:c>
      <x:c r="F151" s="13" t="str">
        <x:f>IF($A151="","",SUMIFS('5 Žaliavų perdavimai'!$E$4:$E$203,'5 Žaliavų perdavimai'!$D$4:$D$203,$B151))</x:f>
      </x:c>
      <x:c r="G151" s="13" t="str">
        <x:f>IF($A151="","",SUMIFS('3 Sunaudojimas'!$H$4:$H$163,'3 Sunaudojimas'!$F$4:$F$163,$B151)+SUMIFS('3 Sunaudojimas'!$K$4:$K$163,'3 Sunaudojimas'!$I$4:$I$163,$B151)+SUMIFS('3 Sunaudojimas'!$N$4:$N$163,'3 Sunaudojimas'!$L$4:$L$163,$B151))</x:f>
      </x:c>
      <x:c r="H151" s="13" t="str">
        <x:f t="shared" si="12"/>
      </x:c>
      <x:c r="I151" t="str">
        <x:f t="shared" ca="1" si="13"/>
      </x:c>
      <x:c r="J151" t="str">
        <x:f t="shared" ca="1" si="14"/>
      </x:c>
    </x:row>
    <x:row r="152">
      <x:c r="A152" t="str">
        <x:f>IF('1 Žaliavų gavimas'!B155="","",'1 Žaliavų gavimas'!B155)</x:f>
      </x:c>
      <x:c r="B152" t="str">
        <x:f>IF($A152="","",'1 Žaliavų gavimas'!D155)</x:f>
      </x:c>
      <x:c r="C152" s="12" t="str">
        <x:f>IF($A152="","",'1 Žaliavų gavimas'!A155)</x:f>
      </x:c>
      <x:c r="D152" s="12" t="str">
        <x:f>IF($A152="","",'1 Žaliavų gavimas'!G155)</x:f>
      </x:c>
      <x:c r="E152" s="13" t="str">
        <x:f>IF($A152="","",'1 Žaliavų gavimas'!C155)</x:f>
      </x:c>
      <x:c r="F152" s="13" t="str">
        <x:f>IF($A152="","",SUMIFS('5 Žaliavų perdavimai'!$E$4:$E$203,'5 Žaliavų perdavimai'!$D$4:$D$203,$B152))</x:f>
      </x:c>
      <x:c r="G152" s="13" t="str">
        <x:f>IF($A152="","",SUMIFS('3 Sunaudojimas'!$H$4:$H$163,'3 Sunaudojimas'!$F$4:$F$163,$B152)+SUMIFS('3 Sunaudojimas'!$K$4:$K$163,'3 Sunaudojimas'!$I$4:$I$163,$B152)+SUMIFS('3 Sunaudojimas'!$N$4:$N$163,'3 Sunaudojimas'!$L$4:$L$163,$B152))</x:f>
      </x:c>
      <x:c r="H152" s="13" t="str">
        <x:f t="shared" si="12"/>
      </x:c>
      <x:c r="I152" t="str">
        <x:f t="shared" ca="1" si="13"/>
      </x:c>
      <x:c r="J152" t="str">
        <x:f t="shared" ca="1" si="14"/>
      </x:c>
    </x:row>
    <x:row r="153">
      <x:c r="A153" t="str">
        <x:f>IF('1 Žaliavų gavimas'!B156="","",'1 Žaliavų gavimas'!B156)</x:f>
      </x:c>
      <x:c r="B153" t="str">
        <x:f>IF($A153="","",'1 Žaliavų gavimas'!D156)</x:f>
      </x:c>
      <x:c r="C153" s="12" t="str">
        <x:f>IF($A153="","",'1 Žaliavų gavimas'!A156)</x:f>
      </x:c>
      <x:c r="D153" s="12" t="str">
        <x:f>IF($A153="","",'1 Žaliavų gavimas'!G156)</x:f>
      </x:c>
      <x:c r="E153" s="13" t="str">
        <x:f>IF($A153="","",'1 Žaliavų gavimas'!C156)</x:f>
      </x:c>
      <x:c r="F153" s="13" t="str">
        <x:f>IF($A153="","",SUMIFS('5 Žaliavų perdavimai'!$E$4:$E$203,'5 Žaliavų perdavimai'!$D$4:$D$203,$B153))</x:f>
      </x:c>
      <x:c r="G153" s="13" t="str">
        <x:f>IF($A153="","",SUMIFS('3 Sunaudojimas'!$H$4:$H$163,'3 Sunaudojimas'!$F$4:$F$163,$B153)+SUMIFS('3 Sunaudojimas'!$K$4:$K$163,'3 Sunaudojimas'!$I$4:$I$163,$B153)+SUMIFS('3 Sunaudojimas'!$N$4:$N$163,'3 Sunaudojimas'!$L$4:$L$163,$B153))</x:f>
      </x:c>
      <x:c r="H153" s="13" t="str">
        <x:f t="shared" si="12"/>
      </x:c>
      <x:c r="I153" t="str">
        <x:f t="shared" ca="1" si="13"/>
      </x:c>
      <x:c r="J153" t="str">
        <x:f t="shared" ca="1" si="14"/>
      </x:c>
    </x:row>
    <x:row r="154">
      <x:c r="A154" t="str">
        <x:f>IF('1 Žaliavų gavimas'!B157="","",'1 Žaliavų gavimas'!B157)</x:f>
      </x:c>
      <x:c r="B154" t="str">
        <x:f>IF($A154="","",'1 Žaliavų gavimas'!D157)</x:f>
      </x:c>
      <x:c r="C154" s="12" t="str">
        <x:f>IF($A154="","",'1 Žaliavų gavimas'!A157)</x:f>
      </x:c>
      <x:c r="D154" s="12" t="str">
        <x:f>IF($A154="","",'1 Žaliavų gavimas'!G157)</x:f>
      </x:c>
      <x:c r="E154" s="13" t="str">
        <x:f>IF($A154="","",'1 Žaliavų gavimas'!C157)</x:f>
      </x:c>
      <x:c r="F154" s="13" t="str">
        <x:f>IF($A154="","",SUMIFS('5 Žaliavų perdavimai'!$E$4:$E$203,'5 Žaliavų perdavimai'!$D$4:$D$203,$B154))</x:f>
      </x:c>
      <x:c r="G154" s="13" t="str">
        <x:f>IF($A154="","",SUMIFS('3 Sunaudojimas'!$H$4:$H$163,'3 Sunaudojimas'!$F$4:$F$163,$B154)+SUMIFS('3 Sunaudojimas'!$K$4:$K$163,'3 Sunaudojimas'!$I$4:$I$163,$B154)+SUMIFS('3 Sunaudojimas'!$N$4:$N$163,'3 Sunaudojimas'!$L$4:$L$163,$B154))</x:f>
      </x:c>
      <x:c r="H154" s="13" t="str">
        <x:f t="shared" si="12"/>
      </x:c>
      <x:c r="I154" t="str">
        <x:f t="shared" ca="1" si="13"/>
      </x:c>
      <x:c r="J154" t="str">
        <x:f t="shared" ca="1" si="14"/>
      </x:c>
    </x:row>
    <x:row r="155">
      <x:c r="A155" t="str">
        <x:f>IF('1 Žaliavų gavimas'!B158="","",'1 Žaliavų gavimas'!B158)</x:f>
      </x:c>
      <x:c r="B155" t="str">
        <x:f>IF($A155="","",'1 Žaliavų gavimas'!D158)</x:f>
      </x:c>
      <x:c r="C155" s="12" t="str">
        <x:f>IF($A155="","",'1 Žaliavų gavimas'!A158)</x:f>
      </x:c>
      <x:c r="D155" s="12" t="str">
        <x:f>IF($A155="","",'1 Žaliavų gavimas'!G158)</x:f>
      </x:c>
      <x:c r="E155" s="13" t="str">
        <x:f>IF($A155="","",'1 Žaliavų gavimas'!C158)</x:f>
      </x:c>
      <x:c r="F155" s="13" t="str">
        <x:f>IF($A155="","",SUMIFS('5 Žaliavų perdavimai'!$E$4:$E$203,'5 Žaliavų perdavimai'!$D$4:$D$203,$B155))</x:f>
      </x:c>
      <x:c r="G155" s="13" t="str">
        <x:f>IF($A155="","",SUMIFS('3 Sunaudojimas'!$H$4:$H$163,'3 Sunaudojimas'!$F$4:$F$163,$B155)+SUMIFS('3 Sunaudojimas'!$K$4:$K$163,'3 Sunaudojimas'!$I$4:$I$163,$B155)+SUMIFS('3 Sunaudojimas'!$N$4:$N$163,'3 Sunaudojimas'!$L$4:$L$163,$B155))</x:f>
      </x:c>
      <x:c r="H155" s="13" t="str">
        <x:f t="shared" si="12"/>
      </x:c>
      <x:c r="I155" t="str">
        <x:f t="shared" ca="1" si="13"/>
      </x:c>
      <x:c r="J155" t="str">
        <x:f t="shared" ca="1" si="14"/>
      </x:c>
    </x:row>
    <x:row r="156">
      <x:c r="A156" t="str">
        <x:f>IF('1 Žaliavų gavimas'!B159="","",'1 Žaliavų gavimas'!B159)</x:f>
      </x:c>
      <x:c r="B156" t="str">
        <x:f>IF($A156="","",'1 Žaliavų gavimas'!D159)</x:f>
      </x:c>
      <x:c r="C156" s="12" t="str">
        <x:f>IF($A156="","",'1 Žaliavų gavimas'!A159)</x:f>
      </x:c>
      <x:c r="D156" s="12" t="str">
        <x:f>IF($A156="","",'1 Žaliavų gavimas'!G159)</x:f>
      </x:c>
      <x:c r="E156" s="13" t="str">
        <x:f>IF($A156="","",'1 Žaliavų gavimas'!C159)</x:f>
      </x:c>
      <x:c r="F156" s="13" t="str">
        <x:f>IF($A156="","",SUMIFS('5 Žaliavų perdavimai'!$E$4:$E$203,'5 Žaliavų perdavimai'!$D$4:$D$203,$B156))</x:f>
      </x:c>
      <x:c r="G156" s="13" t="str">
        <x:f>IF($A156="","",SUMIFS('3 Sunaudojimas'!$H$4:$H$163,'3 Sunaudojimas'!$F$4:$F$163,$B156)+SUMIFS('3 Sunaudojimas'!$K$4:$K$163,'3 Sunaudojimas'!$I$4:$I$163,$B156)+SUMIFS('3 Sunaudojimas'!$N$4:$N$163,'3 Sunaudojimas'!$L$4:$L$163,$B156))</x:f>
      </x:c>
      <x:c r="H156" s="13" t="str">
        <x:f t="shared" si="12"/>
      </x:c>
      <x:c r="I156" t="str">
        <x:f t="shared" ca="1" si="13"/>
      </x:c>
      <x:c r="J156" t="str">
        <x:f t="shared" ca="1" si="14"/>
      </x:c>
    </x:row>
    <x:row r="157">
      <x:c r="A157" t="str">
        <x:f>IF('1 Žaliavų gavimas'!B160="","",'1 Žaliavų gavimas'!B160)</x:f>
      </x:c>
      <x:c r="B157" t="str">
        <x:f>IF($A157="","",'1 Žaliavų gavimas'!D160)</x:f>
      </x:c>
      <x:c r="C157" s="12" t="str">
        <x:f>IF($A157="","",'1 Žaliavų gavimas'!A160)</x:f>
      </x:c>
      <x:c r="D157" s="12" t="str">
        <x:f>IF($A157="","",'1 Žaliavų gavimas'!G160)</x:f>
      </x:c>
      <x:c r="E157" s="13" t="str">
        <x:f>IF($A157="","",'1 Žaliavų gavimas'!C160)</x:f>
      </x:c>
      <x:c r="F157" s="13" t="str">
        <x:f>IF($A157="","",SUMIFS('5 Žaliavų perdavimai'!$E$4:$E$203,'5 Žaliavų perdavimai'!$D$4:$D$203,$B157))</x:f>
      </x:c>
      <x:c r="G157" s="13" t="str">
        <x:f>IF($A157="","",SUMIFS('3 Sunaudojimas'!$H$4:$H$163,'3 Sunaudojimas'!$F$4:$F$163,$B157)+SUMIFS('3 Sunaudojimas'!$K$4:$K$163,'3 Sunaudojimas'!$I$4:$I$163,$B157)+SUMIFS('3 Sunaudojimas'!$N$4:$N$163,'3 Sunaudojimas'!$L$4:$L$163,$B157))</x:f>
      </x:c>
      <x:c r="H157" s="13" t="str">
        <x:f t="shared" si="12"/>
      </x:c>
      <x:c r="I157" t="str">
        <x:f t="shared" ca="1" si="13"/>
      </x:c>
      <x:c r="J157" t="str">
        <x:f t="shared" ca="1" si="14"/>
      </x:c>
    </x:row>
    <x:row r="158">
      <x:c r="A158" t="str">
        <x:f>IF('1 Žaliavų gavimas'!B161="","",'1 Žaliavų gavimas'!B161)</x:f>
      </x:c>
      <x:c r="B158" t="str">
        <x:f>IF($A158="","",'1 Žaliavų gavimas'!D161)</x:f>
      </x:c>
      <x:c r="C158" s="12" t="str">
        <x:f>IF($A158="","",'1 Žaliavų gavimas'!A161)</x:f>
      </x:c>
      <x:c r="D158" s="12" t="str">
        <x:f>IF($A158="","",'1 Žaliavų gavimas'!G161)</x:f>
      </x:c>
      <x:c r="E158" s="13" t="str">
        <x:f>IF($A158="","",'1 Žaliavų gavimas'!C161)</x:f>
      </x:c>
      <x:c r="F158" s="13" t="str">
        <x:f>IF($A158="","",SUMIFS('5 Žaliavų perdavimai'!$E$4:$E$203,'5 Žaliavų perdavimai'!$D$4:$D$203,$B158))</x:f>
      </x:c>
      <x:c r="G158" s="13" t="str">
        <x:f>IF($A158="","",SUMIFS('3 Sunaudojimas'!$H$4:$H$163,'3 Sunaudojimas'!$F$4:$F$163,$B158)+SUMIFS('3 Sunaudojimas'!$K$4:$K$163,'3 Sunaudojimas'!$I$4:$I$163,$B158)+SUMIFS('3 Sunaudojimas'!$N$4:$N$163,'3 Sunaudojimas'!$L$4:$L$163,$B158))</x:f>
      </x:c>
      <x:c r="H158" s="13" t="str">
        <x:f t="shared" si="12"/>
      </x:c>
      <x:c r="I158" t="str">
        <x:f t="shared" ca="1" si="13"/>
      </x:c>
      <x:c r="J158" t="str">
        <x:f t="shared" ca="1" si="14"/>
      </x:c>
    </x:row>
    <x:row r="159">
      <x:c r="A159" t="str">
        <x:f>IF('1 Žaliavų gavimas'!B162="","",'1 Žaliavų gavimas'!B162)</x:f>
      </x:c>
      <x:c r="B159" t="str">
        <x:f>IF($A159="","",'1 Žaliavų gavimas'!D162)</x:f>
      </x:c>
      <x:c r="C159" s="12" t="str">
        <x:f>IF($A159="","",'1 Žaliavų gavimas'!A162)</x:f>
      </x:c>
      <x:c r="D159" s="12" t="str">
        <x:f>IF($A159="","",'1 Žaliavų gavimas'!G162)</x:f>
      </x:c>
      <x:c r="E159" s="13" t="str">
        <x:f>IF($A159="","",'1 Žaliavų gavimas'!C162)</x:f>
      </x:c>
      <x:c r="F159" s="13" t="str">
        <x:f>IF($A159="","",SUMIFS('5 Žaliavų perdavimai'!$E$4:$E$203,'5 Žaliavų perdavimai'!$D$4:$D$203,$B159))</x:f>
      </x:c>
      <x:c r="G159" s="13" t="str">
        <x:f>IF($A159="","",SUMIFS('3 Sunaudojimas'!$H$4:$H$163,'3 Sunaudojimas'!$F$4:$F$163,$B159)+SUMIFS('3 Sunaudojimas'!$K$4:$K$163,'3 Sunaudojimas'!$I$4:$I$163,$B159)+SUMIFS('3 Sunaudojimas'!$N$4:$N$163,'3 Sunaudojimas'!$L$4:$L$163,$B159))</x:f>
      </x:c>
      <x:c r="H159" s="13" t="str">
        <x:f t="shared" si="12"/>
      </x:c>
      <x:c r="I159" t="str">
        <x:f t="shared" ca="1" si="13"/>
      </x:c>
      <x:c r="J159" t="str">
        <x:f t="shared" ca="1" si="14"/>
      </x:c>
    </x:row>
    <x:row r="160">
      <x:c r="A160" t="str">
        <x:f>IF('1 Žaliavų gavimas'!B163="","",'1 Žaliavų gavimas'!B163)</x:f>
      </x:c>
      <x:c r="B160" t="str">
        <x:f>IF($A160="","",'1 Žaliavų gavimas'!D163)</x:f>
      </x:c>
      <x:c r="C160" s="12" t="str">
        <x:f>IF($A160="","",'1 Žaliavų gavimas'!A163)</x:f>
      </x:c>
      <x:c r="D160" s="12" t="str">
        <x:f>IF($A160="","",'1 Žaliavų gavimas'!G163)</x:f>
      </x:c>
      <x:c r="E160" s="13" t="str">
        <x:f>IF($A160="","",'1 Žaliavų gavimas'!C163)</x:f>
      </x:c>
      <x:c r="F160" s="13" t="str">
        <x:f>IF($A160="","",SUMIFS('5 Žaliavų perdavimai'!$E$4:$E$203,'5 Žaliavų perdavimai'!$D$4:$D$203,$B160))</x:f>
      </x:c>
      <x:c r="G160" s="13" t="str">
        <x:f>IF($A160="","",SUMIFS('3 Sunaudojimas'!$H$4:$H$163,'3 Sunaudojimas'!$F$4:$F$163,$B160)+SUMIFS('3 Sunaudojimas'!$K$4:$K$163,'3 Sunaudojimas'!$I$4:$I$163,$B160)+SUMIFS('3 Sunaudojimas'!$N$4:$N$163,'3 Sunaudojimas'!$L$4:$L$163,$B160))</x:f>
      </x:c>
      <x:c r="H160" s="13" t="str">
        <x:f t="shared" si="12"/>
      </x:c>
      <x:c r="I160" t="str">
        <x:f t="shared" ca="1" si="13"/>
      </x:c>
      <x:c r="J160" t="str">
        <x:f t="shared" ca="1" si="14"/>
      </x:c>
    </x:row>
    <x:row r="161">
      <x:c r="A161" t="str">
        <x:f>IF('1 Žaliavų gavimas'!B164="","",'1 Žaliavų gavimas'!B164)</x:f>
      </x:c>
      <x:c r="B161" t="str">
        <x:f>IF($A161="","",'1 Žaliavų gavimas'!D164)</x:f>
      </x:c>
      <x:c r="C161" s="12" t="str">
        <x:f>IF($A161="","",'1 Žaliavų gavimas'!A164)</x:f>
      </x:c>
      <x:c r="D161" s="12" t="str">
        <x:f>IF($A161="","",'1 Žaliavų gavimas'!G164)</x:f>
      </x:c>
      <x:c r="E161" s="13" t="str">
        <x:f>IF($A161="","",'1 Žaliavų gavimas'!C164)</x:f>
      </x:c>
      <x:c r="F161" s="13" t="str">
        <x:f>IF($A161="","",SUMIFS('5 Žaliavų perdavimai'!$E$4:$E$203,'5 Žaliavų perdavimai'!$D$4:$D$203,$B161))</x:f>
      </x:c>
      <x:c r="G161" s="13" t="str">
        <x:f>IF($A161="","",SUMIFS('3 Sunaudojimas'!$H$4:$H$163,'3 Sunaudojimas'!$F$4:$F$163,$B161)+SUMIFS('3 Sunaudojimas'!$K$4:$K$163,'3 Sunaudojimas'!$I$4:$I$163,$B161)+SUMIFS('3 Sunaudojimas'!$N$4:$N$163,'3 Sunaudojimas'!$L$4:$L$163,$B161))</x:f>
      </x:c>
      <x:c r="H161" s="13" t="str">
        <x:f t="shared" si="12"/>
      </x:c>
      <x:c r="I161" t="str">
        <x:f t="shared" ca="1" si="13"/>
      </x:c>
      <x:c r="J161" t="str">
        <x:f t="shared" ca="1" si="14"/>
      </x:c>
    </x:row>
    <x:row r="162">
      <x:c r="A162" t="str">
        <x:f>IF('1 Žaliavų gavimas'!B165="","",'1 Žaliavų gavimas'!B165)</x:f>
      </x:c>
      <x:c r="B162" t="str">
        <x:f>IF($A162="","",'1 Žaliavų gavimas'!D165)</x:f>
      </x:c>
      <x:c r="C162" s="12" t="str">
        <x:f>IF($A162="","",'1 Žaliavų gavimas'!A165)</x:f>
      </x:c>
      <x:c r="D162" s="12" t="str">
        <x:f>IF($A162="","",'1 Žaliavų gavimas'!G165)</x:f>
      </x:c>
      <x:c r="E162" s="13" t="str">
        <x:f>IF($A162="","",'1 Žaliavų gavimas'!C165)</x:f>
      </x:c>
      <x:c r="F162" s="13" t="str">
        <x:f>IF($A162="","",SUMIFS('5 Žaliavų perdavimai'!$E$4:$E$203,'5 Žaliavų perdavimai'!$D$4:$D$203,$B162))</x:f>
      </x:c>
      <x:c r="G162" s="13" t="str">
        <x:f>IF($A162="","",SUMIFS('3 Sunaudojimas'!$H$4:$H$163,'3 Sunaudojimas'!$F$4:$F$163,$B162)+SUMIFS('3 Sunaudojimas'!$K$4:$K$163,'3 Sunaudojimas'!$I$4:$I$163,$B162)+SUMIFS('3 Sunaudojimas'!$N$4:$N$163,'3 Sunaudojimas'!$L$4:$L$163,$B162))</x:f>
      </x:c>
      <x:c r="H162" s="13" t="str">
        <x:f t="shared" si="12"/>
      </x:c>
      <x:c r="I162" t="str">
        <x:f t="shared" ca="1" si="13"/>
      </x:c>
      <x:c r="J162" t="str">
        <x:f t="shared" ca="1" si="14"/>
      </x:c>
    </x:row>
    <x:row r="163">
      <x:c r="A163" t="str">
        <x:f>IF('1 Žaliavų gavimas'!B166="","",'1 Žaliavų gavimas'!B166)</x:f>
      </x:c>
      <x:c r="B163" t="str">
        <x:f>IF($A163="","",'1 Žaliavų gavimas'!D166)</x:f>
      </x:c>
      <x:c r="C163" s="12" t="str">
        <x:f>IF($A163="","",'1 Žaliavų gavimas'!A166)</x:f>
      </x:c>
      <x:c r="D163" s="12" t="str">
        <x:f>IF($A163="","",'1 Žaliavų gavimas'!G166)</x:f>
      </x:c>
      <x:c r="E163" s="13" t="str">
        <x:f>IF($A163="","",'1 Žaliavų gavimas'!C166)</x:f>
      </x:c>
      <x:c r="F163" s="13" t="str">
        <x:f>IF($A163="","",SUMIFS('5 Žaliavų perdavimai'!$E$4:$E$203,'5 Žaliavų perdavimai'!$D$4:$D$203,$B163))</x:f>
      </x:c>
      <x:c r="G163" s="13" t="str">
        <x:f>IF($A163="","",SUMIFS('3 Sunaudojimas'!$H$4:$H$163,'3 Sunaudojimas'!$F$4:$F$163,$B163)+SUMIFS('3 Sunaudojimas'!$K$4:$K$163,'3 Sunaudojimas'!$I$4:$I$163,$B163)+SUMIFS('3 Sunaudojimas'!$N$4:$N$163,'3 Sunaudojimas'!$L$4:$L$163,$B163))</x:f>
      </x:c>
      <x:c r="H163" s="13" t="str">
        <x:f t="shared" si="12"/>
      </x:c>
      <x:c r="I163" t="str">
        <x:f t="shared" ca="1" si="13"/>
      </x:c>
      <x:c r="J163" t="str">
        <x:f t="shared" ca="1" si="14"/>
      </x:c>
    </x:row>
    <x:row r="164">
      <x:c r="A164" t="str">
        <x:f>IF('1 Žaliavų gavimas'!B167="","",'1 Žaliavų gavimas'!B167)</x:f>
      </x:c>
      <x:c r="B164" t="str">
        <x:f>IF($A164="","",'1 Žaliavų gavimas'!D167)</x:f>
      </x:c>
      <x:c r="C164" s="12" t="str">
        <x:f>IF($A164="","",'1 Žaliavų gavimas'!A167)</x:f>
      </x:c>
      <x:c r="D164" s="12" t="str">
        <x:f>IF($A164="","",'1 Žaliavų gavimas'!G167)</x:f>
      </x:c>
      <x:c r="E164" s="13" t="str">
        <x:f>IF($A164="","",'1 Žaliavų gavimas'!C167)</x:f>
      </x:c>
      <x:c r="F164" s="13" t="str">
        <x:f>IF($A164="","",SUMIFS('5 Žaliavų perdavimai'!$E$4:$E$203,'5 Žaliavų perdavimai'!$D$4:$D$203,$B164))</x:f>
      </x:c>
      <x:c r="G164" s="13" t="str">
        <x:f>IF($A164="","",SUMIFS('3 Sunaudojimas'!$H$4:$H$163,'3 Sunaudojimas'!$F$4:$F$163,$B164)+SUMIFS('3 Sunaudojimas'!$K$4:$K$163,'3 Sunaudojimas'!$I$4:$I$163,$B164)+SUMIFS('3 Sunaudojimas'!$N$4:$N$163,'3 Sunaudojimas'!$L$4:$L$163,$B164))</x:f>
      </x:c>
      <x:c r="H164" s="13" t="str">
        <x:f t="shared" ref="H164:H195" si="15">IF($A164="","",$E164-$F164-$G164)</x:f>
      </x:c>
      <x:c r="I164" t="str">
        <x:f t="shared" ref="I164:I195" ca="1" si="16">IF(OR($A164="",$D164=""),"",$D164-TODAY())</x:f>
      </x:c>
      <x:c r="J164" t="str">
        <x:f t="shared" ref="J164:J195" ca="1" si="17">IF($A164="","",IF($H164&lt;-0.001,"KONFLIKTAS – VIRŠYTAS LIKUTIS",IF($H164&lt;=0.001,"IŠNAUDOTA",IF($D164="","GALIOJIMAS NENURODYTAS",IF($D164&lt;TODAY(),"PASIBAIGĘS",IF($D164&lt;=TODAY()+3,"BAIGIASI ≤3 D.",IF($D164&lt;=TODAY()+7,"BAIGIASI ≤7 D.","OK")))))))</x:f>
      </x:c>
    </x:row>
    <x:row r="165">
      <x:c r="A165" t="str">
        <x:f>IF('1 Žaliavų gavimas'!B168="","",'1 Žaliavų gavimas'!B168)</x:f>
      </x:c>
      <x:c r="B165" t="str">
        <x:f>IF($A165="","",'1 Žaliavų gavimas'!D168)</x:f>
      </x:c>
      <x:c r="C165" s="12" t="str">
        <x:f>IF($A165="","",'1 Žaliavų gavimas'!A168)</x:f>
      </x:c>
      <x:c r="D165" s="12" t="str">
        <x:f>IF($A165="","",'1 Žaliavų gavimas'!G168)</x:f>
      </x:c>
      <x:c r="E165" s="13" t="str">
        <x:f>IF($A165="","",'1 Žaliavų gavimas'!C168)</x:f>
      </x:c>
      <x:c r="F165" s="13" t="str">
        <x:f>IF($A165="","",SUMIFS('5 Žaliavų perdavimai'!$E$4:$E$203,'5 Žaliavų perdavimai'!$D$4:$D$203,$B165))</x:f>
      </x:c>
      <x:c r="G165" s="13" t="str">
        <x:f>IF($A165="","",SUMIFS('3 Sunaudojimas'!$H$4:$H$163,'3 Sunaudojimas'!$F$4:$F$163,$B165)+SUMIFS('3 Sunaudojimas'!$K$4:$K$163,'3 Sunaudojimas'!$I$4:$I$163,$B165)+SUMIFS('3 Sunaudojimas'!$N$4:$N$163,'3 Sunaudojimas'!$L$4:$L$163,$B165))</x:f>
      </x:c>
      <x:c r="H165" s="13" t="str">
        <x:f t="shared" si="15"/>
      </x:c>
      <x:c r="I165" t="str">
        <x:f t="shared" ca="1" si="16"/>
      </x:c>
      <x:c r="J165" t="str">
        <x:f t="shared" ca="1" si="17"/>
      </x:c>
    </x:row>
    <x:row r="166">
      <x:c r="A166" t="str">
        <x:f>IF('1 Žaliavų gavimas'!B169="","",'1 Žaliavų gavimas'!B169)</x:f>
      </x:c>
      <x:c r="B166" t="str">
        <x:f>IF($A166="","",'1 Žaliavų gavimas'!D169)</x:f>
      </x:c>
      <x:c r="C166" s="12" t="str">
        <x:f>IF($A166="","",'1 Žaliavų gavimas'!A169)</x:f>
      </x:c>
      <x:c r="D166" s="12" t="str">
        <x:f>IF($A166="","",'1 Žaliavų gavimas'!G169)</x:f>
      </x:c>
      <x:c r="E166" s="13" t="str">
        <x:f>IF($A166="","",'1 Žaliavų gavimas'!C169)</x:f>
      </x:c>
      <x:c r="F166" s="13" t="str">
        <x:f>IF($A166="","",SUMIFS('5 Žaliavų perdavimai'!$E$4:$E$203,'5 Žaliavų perdavimai'!$D$4:$D$203,$B166))</x:f>
      </x:c>
      <x:c r="G166" s="13" t="str">
        <x:f>IF($A166="","",SUMIFS('3 Sunaudojimas'!$H$4:$H$163,'3 Sunaudojimas'!$F$4:$F$163,$B166)+SUMIFS('3 Sunaudojimas'!$K$4:$K$163,'3 Sunaudojimas'!$I$4:$I$163,$B166)+SUMIFS('3 Sunaudojimas'!$N$4:$N$163,'3 Sunaudojimas'!$L$4:$L$163,$B166))</x:f>
      </x:c>
      <x:c r="H166" s="13" t="str">
        <x:f t="shared" si="15"/>
      </x:c>
      <x:c r="I166" t="str">
        <x:f t="shared" ca="1" si="16"/>
      </x:c>
      <x:c r="J166" t="str">
        <x:f t="shared" ca="1" si="17"/>
      </x:c>
    </x:row>
    <x:row r="167">
      <x:c r="A167" t="str">
        <x:f>IF('1 Žaliavų gavimas'!B170="","",'1 Žaliavų gavimas'!B170)</x:f>
      </x:c>
      <x:c r="B167" t="str">
        <x:f>IF($A167="","",'1 Žaliavų gavimas'!D170)</x:f>
      </x:c>
      <x:c r="C167" s="12" t="str">
        <x:f>IF($A167="","",'1 Žaliavų gavimas'!A170)</x:f>
      </x:c>
      <x:c r="D167" s="12" t="str">
        <x:f>IF($A167="","",'1 Žaliavų gavimas'!G170)</x:f>
      </x:c>
      <x:c r="E167" s="13" t="str">
        <x:f>IF($A167="","",'1 Žaliavų gavimas'!C170)</x:f>
      </x:c>
      <x:c r="F167" s="13" t="str">
        <x:f>IF($A167="","",SUMIFS('5 Žaliavų perdavimai'!$E$4:$E$203,'5 Žaliavų perdavimai'!$D$4:$D$203,$B167))</x:f>
      </x:c>
      <x:c r="G167" s="13" t="str">
        <x:f>IF($A167="","",SUMIFS('3 Sunaudojimas'!$H$4:$H$163,'3 Sunaudojimas'!$F$4:$F$163,$B167)+SUMIFS('3 Sunaudojimas'!$K$4:$K$163,'3 Sunaudojimas'!$I$4:$I$163,$B167)+SUMIFS('3 Sunaudojimas'!$N$4:$N$163,'3 Sunaudojimas'!$L$4:$L$163,$B167))</x:f>
      </x:c>
      <x:c r="H167" s="13" t="str">
        <x:f t="shared" si="15"/>
      </x:c>
      <x:c r="I167" t="str">
        <x:f t="shared" ca="1" si="16"/>
      </x:c>
      <x:c r="J167" t="str">
        <x:f t="shared" ca="1" si="17"/>
      </x:c>
    </x:row>
    <x:row r="168">
      <x:c r="A168" t="str">
        <x:f>IF('1 Žaliavų gavimas'!B171="","",'1 Žaliavų gavimas'!B171)</x:f>
      </x:c>
      <x:c r="B168" t="str">
        <x:f>IF($A168="","",'1 Žaliavų gavimas'!D171)</x:f>
      </x:c>
      <x:c r="C168" s="12" t="str">
        <x:f>IF($A168="","",'1 Žaliavų gavimas'!A171)</x:f>
      </x:c>
      <x:c r="D168" s="12" t="str">
        <x:f>IF($A168="","",'1 Žaliavų gavimas'!G171)</x:f>
      </x:c>
      <x:c r="E168" s="13" t="str">
        <x:f>IF($A168="","",'1 Žaliavų gavimas'!C171)</x:f>
      </x:c>
      <x:c r="F168" s="13" t="str">
        <x:f>IF($A168="","",SUMIFS('5 Žaliavų perdavimai'!$E$4:$E$203,'5 Žaliavų perdavimai'!$D$4:$D$203,$B168))</x:f>
      </x:c>
      <x:c r="G168" s="13" t="str">
        <x:f>IF($A168="","",SUMIFS('3 Sunaudojimas'!$H$4:$H$163,'3 Sunaudojimas'!$F$4:$F$163,$B168)+SUMIFS('3 Sunaudojimas'!$K$4:$K$163,'3 Sunaudojimas'!$I$4:$I$163,$B168)+SUMIFS('3 Sunaudojimas'!$N$4:$N$163,'3 Sunaudojimas'!$L$4:$L$163,$B168))</x:f>
      </x:c>
      <x:c r="H168" s="13" t="str">
        <x:f t="shared" si="15"/>
      </x:c>
      <x:c r="I168" t="str">
        <x:f t="shared" ca="1" si="16"/>
      </x:c>
      <x:c r="J168" t="str">
        <x:f t="shared" ca="1" si="17"/>
      </x:c>
    </x:row>
    <x:row r="169">
      <x:c r="A169" t="str">
        <x:f>IF('1 Žaliavų gavimas'!B172="","",'1 Žaliavų gavimas'!B172)</x:f>
      </x:c>
      <x:c r="B169" t="str">
        <x:f>IF($A169="","",'1 Žaliavų gavimas'!D172)</x:f>
      </x:c>
      <x:c r="C169" s="12" t="str">
        <x:f>IF($A169="","",'1 Žaliavų gavimas'!A172)</x:f>
      </x:c>
      <x:c r="D169" s="12" t="str">
        <x:f>IF($A169="","",'1 Žaliavų gavimas'!G172)</x:f>
      </x:c>
      <x:c r="E169" s="13" t="str">
        <x:f>IF($A169="","",'1 Žaliavų gavimas'!C172)</x:f>
      </x:c>
      <x:c r="F169" s="13" t="str">
        <x:f>IF($A169="","",SUMIFS('5 Žaliavų perdavimai'!$E$4:$E$203,'5 Žaliavų perdavimai'!$D$4:$D$203,$B169))</x:f>
      </x:c>
      <x:c r="G169" s="13" t="str">
        <x:f>IF($A169="","",SUMIFS('3 Sunaudojimas'!$H$4:$H$163,'3 Sunaudojimas'!$F$4:$F$163,$B169)+SUMIFS('3 Sunaudojimas'!$K$4:$K$163,'3 Sunaudojimas'!$I$4:$I$163,$B169)+SUMIFS('3 Sunaudojimas'!$N$4:$N$163,'3 Sunaudojimas'!$L$4:$L$163,$B169))</x:f>
      </x:c>
      <x:c r="H169" s="13" t="str">
        <x:f t="shared" si="15"/>
      </x:c>
      <x:c r="I169" t="str">
        <x:f t="shared" ca="1" si="16"/>
      </x:c>
      <x:c r="J169" t="str">
        <x:f t="shared" ca="1" si="17"/>
      </x:c>
    </x:row>
    <x:row r="170">
      <x:c r="A170" t="str">
        <x:f>IF('1 Žaliavų gavimas'!B173="","",'1 Žaliavų gavimas'!B173)</x:f>
      </x:c>
      <x:c r="B170" t="str">
        <x:f>IF($A170="","",'1 Žaliavų gavimas'!D173)</x:f>
      </x:c>
      <x:c r="C170" s="12" t="str">
        <x:f>IF($A170="","",'1 Žaliavų gavimas'!A173)</x:f>
      </x:c>
      <x:c r="D170" s="12" t="str">
        <x:f>IF($A170="","",'1 Žaliavų gavimas'!G173)</x:f>
      </x:c>
      <x:c r="E170" s="13" t="str">
        <x:f>IF($A170="","",'1 Žaliavų gavimas'!C173)</x:f>
      </x:c>
      <x:c r="F170" s="13" t="str">
        <x:f>IF($A170="","",SUMIFS('5 Žaliavų perdavimai'!$E$4:$E$203,'5 Žaliavų perdavimai'!$D$4:$D$203,$B170))</x:f>
      </x:c>
      <x:c r="G170" s="13" t="str">
        <x:f>IF($A170="","",SUMIFS('3 Sunaudojimas'!$H$4:$H$163,'3 Sunaudojimas'!$F$4:$F$163,$B170)+SUMIFS('3 Sunaudojimas'!$K$4:$K$163,'3 Sunaudojimas'!$I$4:$I$163,$B170)+SUMIFS('3 Sunaudojimas'!$N$4:$N$163,'3 Sunaudojimas'!$L$4:$L$163,$B170))</x:f>
      </x:c>
      <x:c r="H170" s="13" t="str">
        <x:f t="shared" si="15"/>
      </x:c>
      <x:c r="I170" t="str">
        <x:f t="shared" ca="1" si="16"/>
      </x:c>
      <x:c r="J170" t="str">
        <x:f t="shared" ca="1" si="17"/>
      </x:c>
    </x:row>
    <x:row r="171">
      <x:c r="A171" t="str">
        <x:f>IF('1 Žaliavų gavimas'!B174="","",'1 Žaliavų gavimas'!B174)</x:f>
      </x:c>
      <x:c r="B171" t="str">
        <x:f>IF($A171="","",'1 Žaliavų gavimas'!D174)</x:f>
      </x:c>
      <x:c r="C171" s="12" t="str">
        <x:f>IF($A171="","",'1 Žaliavų gavimas'!A174)</x:f>
      </x:c>
      <x:c r="D171" s="12" t="str">
        <x:f>IF($A171="","",'1 Žaliavų gavimas'!G174)</x:f>
      </x:c>
      <x:c r="E171" s="13" t="str">
        <x:f>IF($A171="","",'1 Žaliavų gavimas'!C174)</x:f>
      </x:c>
      <x:c r="F171" s="13" t="str">
        <x:f>IF($A171="","",SUMIFS('5 Žaliavų perdavimai'!$E$4:$E$203,'5 Žaliavų perdavimai'!$D$4:$D$203,$B171))</x:f>
      </x:c>
      <x:c r="G171" s="13" t="str">
        <x:f>IF($A171="","",SUMIFS('3 Sunaudojimas'!$H$4:$H$163,'3 Sunaudojimas'!$F$4:$F$163,$B171)+SUMIFS('3 Sunaudojimas'!$K$4:$K$163,'3 Sunaudojimas'!$I$4:$I$163,$B171)+SUMIFS('3 Sunaudojimas'!$N$4:$N$163,'3 Sunaudojimas'!$L$4:$L$163,$B171))</x:f>
      </x:c>
      <x:c r="H171" s="13" t="str">
        <x:f t="shared" si="15"/>
      </x:c>
      <x:c r="I171" t="str">
        <x:f t="shared" ca="1" si="16"/>
      </x:c>
      <x:c r="J171" t="str">
        <x:f t="shared" ca="1" si="17"/>
      </x:c>
    </x:row>
    <x:row r="172">
      <x:c r="A172" t="str">
        <x:f>IF('1 Žaliavų gavimas'!B175="","",'1 Žaliavų gavimas'!B175)</x:f>
      </x:c>
      <x:c r="B172" t="str">
        <x:f>IF($A172="","",'1 Žaliavų gavimas'!D175)</x:f>
      </x:c>
      <x:c r="C172" s="12" t="str">
        <x:f>IF($A172="","",'1 Žaliavų gavimas'!A175)</x:f>
      </x:c>
      <x:c r="D172" s="12" t="str">
        <x:f>IF($A172="","",'1 Žaliavų gavimas'!G175)</x:f>
      </x:c>
      <x:c r="E172" s="13" t="str">
        <x:f>IF($A172="","",'1 Žaliavų gavimas'!C175)</x:f>
      </x:c>
      <x:c r="F172" s="13" t="str">
        <x:f>IF($A172="","",SUMIFS('5 Žaliavų perdavimai'!$E$4:$E$203,'5 Žaliavų perdavimai'!$D$4:$D$203,$B172))</x:f>
      </x:c>
      <x:c r="G172" s="13" t="str">
        <x:f>IF($A172="","",SUMIFS('3 Sunaudojimas'!$H$4:$H$163,'3 Sunaudojimas'!$F$4:$F$163,$B172)+SUMIFS('3 Sunaudojimas'!$K$4:$K$163,'3 Sunaudojimas'!$I$4:$I$163,$B172)+SUMIFS('3 Sunaudojimas'!$N$4:$N$163,'3 Sunaudojimas'!$L$4:$L$163,$B172))</x:f>
      </x:c>
      <x:c r="H172" s="13" t="str">
        <x:f t="shared" si="15"/>
      </x:c>
      <x:c r="I172" t="str">
        <x:f t="shared" ca="1" si="16"/>
      </x:c>
      <x:c r="J172" t="str">
        <x:f t="shared" ca="1" si="17"/>
      </x:c>
    </x:row>
    <x:row r="173">
      <x:c r="A173" t="str">
        <x:f>IF('1 Žaliavų gavimas'!B176="","",'1 Žaliavų gavimas'!B176)</x:f>
      </x:c>
      <x:c r="B173" t="str">
        <x:f>IF($A173="","",'1 Žaliavų gavimas'!D176)</x:f>
      </x:c>
      <x:c r="C173" s="12" t="str">
        <x:f>IF($A173="","",'1 Žaliavų gavimas'!A176)</x:f>
      </x:c>
      <x:c r="D173" s="12" t="str">
        <x:f>IF($A173="","",'1 Žaliavų gavimas'!G176)</x:f>
      </x:c>
      <x:c r="E173" s="13" t="str">
        <x:f>IF($A173="","",'1 Žaliavų gavimas'!C176)</x:f>
      </x:c>
      <x:c r="F173" s="13" t="str">
        <x:f>IF($A173="","",SUMIFS('5 Žaliavų perdavimai'!$E$4:$E$203,'5 Žaliavų perdavimai'!$D$4:$D$203,$B173))</x:f>
      </x:c>
      <x:c r="G173" s="13" t="str">
        <x:f>IF($A173="","",SUMIFS('3 Sunaudojimas'!$H$4:$H$163,'3 Sunaudojimas'!$F$4:$F$163,$B173)+SUMIFS('3 Sunaudojimas'!$K$4:$K$163,'3 Sunaudojimas'!$I$4:$I$163,$B173)+SUMIFS('3 Sunaudojimas'!$N$4:$N$163,'3 Sunaudojimas'!$L$4:$L$163,$B173))</x:f>
      </x:c>
      <x:c r="H173" s="13" t="str">
        <x:f t="shared" si="15"/>
      </x:c>
      <x:c r="I173" t="str">
        <x:f t="shared" ca="1" si="16"/>
      </x:c>
      <x:c r="J173" t="str">
        <x:f t="shared" ca="1" si="17"/>
      </x:c>
    </x:row>
    <x:row r="174">
      <x:c r="A174" t="str">
        <x:f>IF('1 Žaliavų gavimas'!B177="","",'1 Žaliavų gavimas'!B177)</x:f>
      </x:c>
      <x:c r="B174" t="str">
        <x:f>IF($A174="","",'1 Žaliavų gavimas'!D177)</x:f>
      </x:c>
      <x:c r="C174" s="12" t="str">
        <x:f>IF($A174="","",'1 Žaliavų gavimas'!A177)</x:f>
      </x:c>
      <x:c r="D174" s="12" t="str">
        <x:f>IF($A174="","",'1 Žaliavų gavimas'!G177)</x:f>
      </x:c>
      <x:c r="E174" s="13" t="str">
        <x:f>IF($A174="","",'1 Žaliavų gavimas'!C177)</x:f>
      </x:c>
      <x:c r="F174" s="13" t="str">
        <x:f>IF($A174="","",SUMIFS('5 Žaliavų perdavimai'!$E$4:$E$203,'5 Žaliavų perdavimai'!$D$4:$D$203,$B174))</x:f>
      </x:c>
      <x:c r="G174" s="13" t="str">
        <x:f>IF($A174="","",SUMIFS('3 Sunaudojimas'!$H$4:$H$163,'3 Sunaudojimas'!$F$4:$F$163,$B174)+SUMIFS('3 Sunaudojimas'!$K$4:$K$163,'3 Sunaudojimas'!$I$4:$I$163,$B174)+SUMIFS('3 Sunaudojimas'!$N$4:$N$163,'3 Sunaudojimas'!$L$4:$L$163,$B174))</x:f>
      </x:c>
      <x:c r="H174" s="13" t="str">
        <x:f t="shared" si="15"/>
      </x:c>
      <x:c r="I174" t="str">
        <x:f t="shared" ca="1" si="16"/>
      </x:c>
      <x:c r="J174" t="str">
        <x:f t="shared" ca="1" si="17"/>
      </x:c>
    </x:row>
    <x:row r="175">
      <x:c r="A175" t="str">
        <x:f>IF('1 Žaliavų gavimas'!B178="","",'1 Žaliavų gavimas'!B178)</x:f>
      </x:c>
      <x:c r="B175" t="str">
        <x:f>IF($A175="","",'1 Žaliavų gavimas'!D178)</x:f>
      </x:c>
      <x:c r="C175" s="12" t="str">
        <x:f>IF($A175="","",'1 Žaliavų gavimas'!A178)</x:f>
      </x:c>
      <x:c r="D175" s="12" t="str">
        <x:f>IF($A175="","",'1 Žaliavų gavimas'!G178)</x:f>
      </x:c>
      <x:c r="E175" s="13" t="str">
        <x:f>IF($A175="","",'1 Žaliavų gavimas'!C178)</x:f>
      </x:c>
      <x:c r="F175" s="13" t="str">
        <x:f>IF($A175="","",SUMIFS('5 Žaliavų perdavimai'!$E$4:$E$203,'5 Žaliavų perdavimai'!$D$4:$D$203,$B175))</x:f>
      </x:c>
      <x:c r="G175" s="13" t="str">
        <x:f>IF($A175="","",SUMIFS('3 Sunaudojimas'!$H$4:$H$163,'3 Sunaudojimas'!$F$4:$F$163,$B175)+SUMIFS('3 Sunaudojimas'!$K$4:$K$163,'3 Sunaudojimas'!$I$4:$I$163,$B175)+SUMIFS('3 Sunaudojimas'!$N$4:$N$163,'3 Sunaudojimas'!$L$4:$L$163,$B175))</x:f>
      </x:c>
      <x:c r="H175" s="13" t="str">
        <x:f t="shared" si="15"/>
      </x:c>
      <x:c r="I175" t="str">
        <x:f t="shared" ca="1" si="16"/>
      </x:c>
      <x:c r="J175" t="str">
        <x:f t="shared" ca="1" si="17"/>
      </x:c>
    </x:row>
    <x:row r="176">
      <x:c r="A176" t="str">
        <x:f>IF('1 Žaliavų gavimas'!B179="","",'1 Žaliavų gavimas'!B179)</x:f>
      </x:c>
      <x:c r="B176" t="str">
        <x:f>IF($A176="","",'1 Žaliavų gavimas'!D179)</x:f>
      </x:c>
      <x:c r="C176" s="12" t="str">
        <x:f>IF($A176="","",'1 Žaliavų gavimas'!A179)</x:f>
      </x:c>
      <x:c r="D176" s="12" t="str">
        <x:f>IF($A176="","",'1 Žaliavų gavimas'!G179)</x:f>
      </x:c>
      <x:c r="E176" s="13" t="str">
        <x:f>IF($A176="","",'1 Žaliavų gavimas'!C179)</x:f>
      </x:c>
      <x:c r="F176" s="13" t="str">
        <x:f>IF($A176="","",SUMIFS('5 Žaliavų perdavimai'!$E$4:$E$203,'5 Žaliavų perdavimai'!$D$4:$D$203,$B176))</x:f>
      </x:c>
      <x:c r="G176" s="13" t="str">
        <x:f>IF($A176="","",SUMIFS('3 Sunaudojimas'!$H$4:$H$163,'3 Sunaudojimas'!$F$4:$F$163,$B176)+SUMIFS('3 Sunaudojimas'!$K$4:$K$163,'3 Sunaudojimas'!$I$4:$I$163,$B176)+SUMIFS('3 Sunaudojimas'!$N$4:$N$163,'3 Sunaudojimas'!$L$4:$L$163,$B176))</x:f>
      </x:c>
      <x:c r="H176" s="13" t="str">
        <x:f t="shared" si="15"/>
      </x:c>
      <x:c r="I176" t="str">
        <x:f t="shared" ca="1" si="16"/>
      </x:c>
      <x:c r="J176" t="str">
        <x:f t="shared" ca="1" si="17"/>
      </x:c>
    </x:row>
    <x:row r="177">
      <x:c r="A177" t="str">
        <x:f>IF('1 Žaliavų gavimas'!B180="","",'1 Žaliavų gavimas'!B180)</x:f>
      </x:c>
      <x:c r="B177" t="str">
        <x:f>IF($A177="","",'1 Žaliavų gavimas'!D180)</x:f>
      </x:c>
      <x:c r="C177" s="12" t="str">
        <x:f>IF($A177="","",'1 Žaliavų gavimas'!A180)</x:f>
      </x:c>
      <x:c r="D177" s="12" t="str">
        <x:f>IF($A177="","",'1 Žaliavų gavimas'!G180)</x:f>
      </x:c>
      <x:c r="E177" s="13" t="str">
        <x:f>IF($A177="","",'1 Žaliavų gavimas'!C180)</x:f>
      </x:c>
      <x:c r="F177" s="13" t="str">
        <x:f>IF($A177="","",SUMIFS('5 Žaliavų perdavimai'!$E$4:$E$203,'5 Žaliavų perdavimai'!$D$4:$D$203,$B177))</x:f>
      </x:c>
      <x:c r="G177" s="13" t="str">
        <x:f>IF($A177="","",SUMIFS('3 Sunaudojimas'!$H$4:$H$163,'3 Sunaudojimas'!$F$4:$F$163,$B177)+SUMIFS('3 Sunaudojimas'!$K$4:$K$163,'3 Sunaudojimas'!$I$4:$I$163,$B177)+SUMIFS('3 Sunaudojimas'!$N$4:$N$163,'3 Sunaudojimas'!$L$4:$L$163,$B177))</x:f>
      </x:c>
      <x:c r="H177" s="13" t="str">
        <x:f t="shared" si="15"/>
      </x:c>
      <x:c r="I177" t="str">
        <x:f t="shared" ca="1" si="16"/>
      </x:c>
      <x:c r="J177" t="str">
        <x:f t="shared" ca="1" si="17"/>
      </x:c>
    </x:row>
    <x:row r="178">
      <x:c r="A178" t="str">
        <x:f>IF('1 Žaliavų gavimas'!B181="","",'1 Žaliavų gavimas'!B181)</x:f>
      </x:c>
      <x:c r="B178" t="str">
        <x:f>IF($A178="","",'1 Žaliavų gavimas'!D181)</x:f>
      </x:c>
      <x:c r="C178" s="12" t="str">
        <x:f>IF($A178="","",'1 Žaliavų gavimas'!A181)</x:f>
      </x:c>
      <x:c r="D178" s="12" t="str">
        <x:f>IF($A178="","",'1 Žaliavų gavimas'!G181)</x:f>
      </x:c>
      <x:c r="E178" s="13" t="str">
        <x:f>IF($A178="","",'1 Žaliavų gavimas'!C181)</x:f>
      </x:c>
      <x:c r="F178" s="13" t="str">
        <x:f>IF($A178="","",SUMIFS('5 Žaliavų perdavimai'!$E$4:$E$203,'5 Žaliavų perdavimai'!$D$4:$D$203,$B178))</x:f>
      </x:c>
      <x:c r="G178" s="13" t="str">
        <x:f>IF($A178="","",SUMIFS('3 Sunaudojimas'!$H$4:$H$163,'3 Sunaudojimas'!$F$4:$F$163,$B178)+SUMIFS('3 Sunaudojimas'!$K$4:$K$163,'3 Sunaudojimas'!$I$4:$I$163,$B178)+SUMIFS('3 Sunaudojimas'!$N$4:$N$163,'3 Sunaudojimas'!$L$4:$L$163,$B178))</x:f>
      </x:c>
      <x:c r="H178" s="13" t="str">
        <x:f t="shared" si="15"/>
      </x:c>
      <x:c r="I178" t="str">
        <x:f t="shared" ca="1" si="16"/>
      </x:c>
      <x:c r="J178" t="str">
        <x:f t="shared" ca="1" si="17"/>
      </x:c>
    </x:row>
    <x:row r="179">
      <x:c r="A179" t="str">
        <x:f>IF('1 Žaliavų gavimas'!B182="","",'1 Žaliavų gavimas'!B182)</x:f>
      </x:c>
      <x:c r="B179" t="str">
        <x:f>IF($A179="","",'1 Žaliavų gavimas'!D182)</x:f>
      </x:c>
      <x:c r="C179" s="12" t="str">
        <x:f>IF($A179="","",'1 Žaliavų gavimas'!A182)</x:f>
      </x:c>
      <x:c r="D179" s="12" t="str">
        <x:f>IF($A179="","",'1 Žaliavų gavimas'!G182)</x:f>
      </x:c>
      <x:c r="E179" s="13" t="str">
        <x:f>IF($A179="","",'1 Žaliavų gavimas'!C182)</x:f>
      </x:c>
      <x:c r="F179" s="13" t="str">
        <x:f>IF($A179="","",SUMIFS('5 Žaliavų perdavimai'!$E$4:$E$203,'5 Žaliavų perdavimai'!$D$4:$D$203,$B179))</x:f>
      </x:c>
      <x:c r="G179" s="13" t="str">
        <x:f>IF($A179="","",SUMIFS('3 Sunaudojimas'!$H$4:$H$163,'3 Sunaudojimas'!$F$4:$F$163,$B179)+SUMIFS('3 Sunaudojimas'!$K$4:$K$163,'3 Sunaudojimas'!$I$4:$I$163,$B179)+SUMIFS('3 Sunaudojimas'!$N$4:$N$163,'3 Sunaudojimas'!$L$4:$L$163,$B179))</x:f>
      </x:c>
      <x:c r="H179" s="13" t="str">
        <x:f t="shared" si="15"/>
      </x:c>
      <x:c r="I179" t="str">
        <x:f t="shared" ca="1" si="16"/>
      </x:c>
      <x:c r="J179" t="str">
        <x:f t="shared" ca="1" si="17"/>
      </x:c>
    </x:row>
    <x:row r="180">
      <x:c r="A180" t="str">
        <x:f>IF('1 Žaliavų gavimas'!B183="","",'1 Žaliavų gavimas'!B183)</x:f>
      </x:c>
      <x:c r="B180" t="str">
        <x:f>IF($A180="","",'1 Žaliavų gavimas'!D183)</x:f>
      </x:c>
      <x:c r="C180" s="12" t="str">
        <x:f>IF($A180="","",'1 Žaliavų gavimas'!A183)</x:f>
      </x:c>
      <x:c r="D180" s="12" t="str">
        <x:f>IF($A180="","",'1 Žaliavų gavimas'!G183)</x:f>
      </x:c>
      <x:c r="E180" s="13" t="str">
        <x:f>IF($A180="","",'1 Žaliavų gavimas'!C183)</x:f>
      </x:c>
      <x:c r="F180" s="13" t="str">
        <x:f>IF($A180="","",SUMIFS('5 Žaliavų perdavimai'!$E$4:$E$203,'5 Žaliavų perdavimai'!$D$4:$D$203,$B180))</x:f>
      </x:c>
      <x:c r="G180" s="13" t="str">
        <x:f>IF($A180="","",SUMIFS('3 Sunaudojimas'!$H$4:$H$163,'3 Sunaudojimas'!$F$4:$F$163,$B180)+SUMIFS('3 Sunaudojimas'!$K$4:$K$163,'3 Sunaudojimas'!$I$4:$I$163,$B180)+SUMIFS('3 Sunaudojimas'!$N$4:$N$163,'3 Sunaudojimas'!$L$4:$L$163,$B180))</x:f>
      </x:c>
      <x:c r="H180" s="13" t="str">
        <x:f t="shared" si="15"/>
      </x:c>
      <x:c r="I180" t="str">
        <x:f t="shared" ca="1" si="16"/>
      </x:c>
      <x:c r="J180" t="str">
        <x:f t="shared" ca="1" si="17"/>
      </x:c>
    </x:row>
    <x:row r="181">
      <x:c r="A181" t="str">
        <x:f>IF('1 Žaliavų gavimas'!B184="","",'1 Žaliavų gavimas'!B184)</x:f>
      </x:c>
      <x:c r="B181" t="str">
        <x:f>IF($A181="","",'1 Žaliavų gavimas'!D184)</x:f>
      </x:c>
      <x:c r="C181" s="12" t="str">
        <x:f>IF($A181="","",'1 Žaliavų gavimas'!A184)</x:f>
      </x:c>
      <x:c r="D181" s="12" t="str">
        <x:f>IF($A181="","",'1 Žaliavų gavimas'!G184)</x:f>
      </x:c>
      <x:c r="E181" s="13" t="str">
        <x:f>IF($A181="","",'1 Žaliavų gavimas'!C184)</x:f>
      </x:c>
      <x:c r="F181" s="13" t="str">
        <x:f>IF($A181="","",SUMIFS('5 Žaliavų perdavimai'!$E$4:$E$203,'5 Žaliavų perdavimai'!$D$4:$D$203,$B181))</x:f>
      </x:c>
      <x:c r="G181" s="13" t="str">
        <x:f>IF($A181="","",SUMIFS('3 Sunaudojimas'!$H$4:$H$163,'3 Sunaudojimas'!$F$4:$F$163,$B181)+SUMIFS('3 Sunaudojimas'!$K$4:$K$163,'3 Sunaudojimas'!$I$4:$I$163,$B181)+SUMIFS('3 Sunaudojimas'!$N$4:$N$163,'3 Sunaudojimas'!$L$4:$L$163,$B181))</x:f>
      </x:c>
      <x:c r="H181" s="13" t="str">
        <x:f t="shared" si="15"/>
      </x:c>
      <x:c r="I181" t="str">
        <x:f t="shared" ca="1" si="16"/>
      </x:c>
      <x:c r="J181" t="str">
        <x:f t="shared" ca="1" si="17"/>
      </x:c>
    </x:row>
    <x:row r="182">
      <x:c r="A182" t="str">
        <x:f>IF('1 Žaliavų gavimas'!B185="","",'1 Žaliavų gavimas'!B185)</x:f>
      </x:c>
      <x:c r="B182" t="str">
        <x:f>IF($A182="","",'1 Žaliavų gavimas'!D185)</x:f>
      </x:c>
      <x:c r="C182" s="12" t="str">
        <x:f>IF($A182="","",'1 Žaliavų gavimas'!A185)</x:f>
      </x:c>
      <x:c r="D182" s="12" t="str">
        <x:f>IF($A182="","",'1 Žaliavų gavimas'!G185)</x:f>
      </x:c>
      <x:c r="E182" s="13" t="str">
        <x:f>IF($A182="","",'1 Žaliavų gavimas'!C185)</x:f>
      </x:c>
      <x:c r="F182" s="13" t="str">
        <x:f>IF($A182="","",SUMIFS('5 Žaliavų perdavimai'!$E$4:$E$203,'5 Žaliavų perdavimai'!$D$4:$D$203,$B182))</x:f>
      </x:c>
      <x:c r="G182" s="13" t="str">
        <x:f>IF($A182="","",SUMIFS('3 Sunaudojimas'!$H$4:$H$163,'3 Sunaudojimas'!$F$4:$F$163,$B182)+SUMIFS('3 Sunaudojimas'!$K$4:$K$163,'3 Sunaudojimas'!$I$4:$I$163,$B182)+SUMIFS('3 Sunaudojimas'!$N$4:$N$163,'3 Sunaudojimas'!$L$4:$L$163,$B182))</x:f>
      </x:c>
      <x:c r="H182" s="13" t="str">
        <x:f t="shared" si="15"/>
      </x:c>
      <x:c r="I182" t="str">
        <x:f t="shared" ca="1" si="16"/>
      </x:c>
      <x:c r="J182" t="str">
        <x:f t="shared" ca="1" si="17"/>
      </x:c>
    </x:row>
    <x:row r="183">
      <x:c r="A183" t="str">
        <x:f>IF('1 Žaliavų gavimas'!B186="","",'1 Žaliavų gavimas'!B186)</x:f>
      </x:c>
      <x:c r="B183" t="str">
        <x:f>IF($A183="","",'1 Žaliavų gavimas'!D186)</x:f>
      </x:c>
      <x:c r="C183" s="12" t="str">
        <x:f>IF($A183="","",'1 Žaliavų gavimas'!A186)</x:f>
      </x:c>
      <x:c r="D183" s="12" t="str">
        <x:f>IF($A183="","",'1 Žaliavų gavimas'!G186)</x:f>
      </x:c>
      <x:c r="E183" s="13" t="str">
        <x:f>IF($A183="","",'1 Žaliavų gavimas'!C186)</x:f>
      </x:c>
      <x:c r="F183" s="13" t="str">
        <x:f>IF($A183="","",SUMIFS('5 Žaliavų perdavimai'!$E$4:$E$203,'5 Žaliavų perdavimai'!$D$4:$D$203,$B183))</x:f>
      </x:c>
      <x:c r="G183" s="13" t="str">
        <x:f>IF($A183="","",SUMIFS('3 Sunaudojimas'!$H$4:$H$163,'3 Sunaudojimas'!$F$4:$F$163,$B183)+SUMIFS('3 Sunaudojimas'!$K$4:$K$163,'3 Sunaudojimas'!$I$4:$I$163,$B183)+SUMIFS('3 Sunaudojimas'!$N$4:$N$163,'3 Sunaudojimas'!$L$4:$L$163,$B183))</x:f>
      </x:c>
      <x:c r="H183" s="13" t="str">
        <x:f t="shared" si="15"/>
      </x:c>
      <x:c r="I183" t="str">
        <x:f t="shared" ca="1" si="16"/>
      </x:c>
      <x:c r="J183" t="str">
        <x:f t="shared" ca="1" si="17"/>
      </x:c>
    </x:row>
    <x:row r="184">
      <x:c r="A184" t="str">
        <x:f>IF('1 Žaliavų gavimas'!B187="","",'1 Žaliavų gavimas'!B187)</x:f>
      </x:c>
      <x:c r="B184" t="str">
        <x:f>IF($A184="","",'1 Žaliavų gavimas'!D187)</x:f>
      </x:c>
      <x:c r="C184" s="12" t="str">
        <x:f>IF($A184="","",'1 Žaliavų gavimas'!A187)</x:f>
      </x:c>
      <x:c r="D184" s="12" t="str">
        <x:f>IF($A184="","",'1 Žaliavų gavimas'!G187)</x:f>
      </x:c>
      <x:c r="E184" s="13" t="str">
        <x:f>IF($A184="","",'1 Žaliavų gavimas'!C187)</x:f>
      </x:c>
      <x:c r="F184" s="13" t="str">
        <x:f>IF($A184="","",SUMIFS('5 Žaliavų perdavimai'!$E$4:$E$203,'5 Žaliavų perdavimai'!$D$4:$D$203,$B184))</x:f>
      </x:c>
      <x:c r="G184" s="13" t="str">
        <x:f>IF($A184="","",SUMIFS('3 Sunaudojimas'!$H$4:$H$163,'3 Sunaudojimas'!$F$4:$F$163,$B184)+SUMIFS('3 Sunaudojimas'!$K$4:$K$163,'3 Sunaudojimas'!$I$4:$I$163,$B184)+SUMIFS('3 Sunaudojimas'!$N$4:$N$163,'3 Sunaudojimas'!$L$4:$L$163,$B184))</x:f>
      </x:c>
      <x:c r="H184" s="13" t="str">
        <x:f t="shared" si="15"/>
      </x:c>
      <x:c r="I184" t="str">
        <x:f t="shared" ca="1" si="16"/>
      </x:c>
      <x:c r="J184" t="str">
        <x:f t="shared" ca="1" si="17"/>
      </x:c>
    </x:row>
    <x:row r="185">
      <x:c r="A185" t="str">
        <x:f>IF('1 Žaliavų gavimas'!B188="","",'1 Žaliavų gavimas'!B188)</x:f>
      </x:c>
      <x:c r="B185" t="str">
        <x:f>IF($A185="","",'1 Žaliavų gavimas'!D188)</x:f>
      </x:c>
      <x:c r="C185" s="12" t="str">
        <x:f>IF($A185="","",'1 Žaliavų gavimas'!A188)</x:f>
      </x:c>
      <x:c r="D185" s="12" t="str">
        <x:f>IF($A185="","",'1 Žaliavų gavimas'!G188)</x:f>
      </x:c>
      <x:c r="E185" s="13" t="str">
        <x:f>IF($A185="","",'1 Žaliavų gavimas'!C188)</x:f>
      </x:c>
      <x:c r="F185" s="13" t="str">
        <x:f>IF($A185="","",SUMIFS('5 Žaliavų perdavimai'!$E$4:$E$203,'5 Žaliavų perdavimai'!$D$4:$D$203,$B185))</x:f>
      </x:c>
      <x:c r="G185" s="13" t="str">
        <x:f>IF($A185="","",SUMIFS('3 Sunaudojimas'!$H$4:$H$163,'3 Sunaudojimas'!$F$4:$F$163,$B185)+SUMIFS('3 Sunaudojimas'!$K$4:$K$163,'3 Sunaudojimas'!$I$4:$I$163,$B185)+SUMIFS('3 Sunaudojimas'!$N$4:$N$163,'3 Sunaudojimas'!$L$4:$L$163,$B185))</x:f>
      </x:c>
      <x:c r="H185" s="13" t="str">
        <x:f t="shared" si="15"/>
      </x:c>
      <x:c r="I185" t="str">
        <x:f t="shared" ca="1" si="16"/>
      </x:c>
      <x:c r="J185" t="str">
        <x:f t="shared" ca="1" si="17"/>
      </x:c>
    </x:row>
    <x:row r="186">
      <x:c r="A186" t="str">
        <x:f>IF('1 Žaliavų gavimas'!B189="","",'1 Žaliavų gavimas'!B189)</x:f>
      </x:c>
      <x:c r="B186" t="str">
        <x:f>IF($A186="","",'1 Žaliavų gavimas'!D189)</x:f>
      </x:c>
      <x:c r="C186" s="12" t="str">
        <x:f>IF($A186="","",'1 Žaliavų gavimas'!A189)</x:f>
      </x:c>
      <x:c r="D186" s="12" t="str">
        <x:f>IF($A186="","",'1 Žaliavų gavimas'!G189)</x:f>
      </x:c>
      <x:c r="E186" s="13" t="str">
        <x:f>IF($A186="","",'1 Žaliavų gavimas'!C189)</x:f>
      </x:c>
      <x:c r="F186" s="13" t="str">
        <x:f>IF($A186="","",SUMIFS('5 Žaliavų perdavimai'!$E$4:$E$203,'5 Žaliavų perdavimai'!$D$4:$D$203,$B186))</x:f>
      </x:c>
      <x:c r="G186" s="13" t="str">
        <x:f>IF($A186="","",SUMIFS('3 Sunaudojimas'!$H$4:$H$163,'3 Sunaudojimas'!$F$4:$F$163,$B186)+SUMIFS('3 Sunaudojimas'!$K$4:$K$163,'3 Sunaudojimas'!$I$4:$I$163,$B186)+SUMIFS('3 Sunaudojimas'!$N$4:$N$163,'3 Sunaudojimas'!$L$4:$L$163,$B186))</x:f>
      </x:c>
      <x:c r="H186" s="13" t="str">
        <x:f t="shared" si="15"/>
      </x:c>
      <x:c r="I186" t="str">
        <x:f t="shared" ca="1" si="16"/>
      </x:c>
      <x:c r="J186" t="str">
        <x:f t="shared" ca="1" si="17"/>
      </x:c>
    </x:row>
    <x:row r="187">
      <x:c r="A187" t="str">
        <x:f>IF('1 Žaliavų gavimas'!B190="","",'1 Žaliavų gavimas'!B190)</x:f>
      </x:c>
      <x:c r="B187" t="str">
        <x:f>IF($A187="","",'1 Žaliavų gavimas'!D190)</x:f>
      </x:c>
      <x:c r="C187" s="12" t="str">
        <x:f>IF($A187="","",'1 Žaliavų gavimas'!A190)</x:f>
      </x:c>
      <x:c r="D187" s="12" t="str">
        <x:f>IF($A187="","",'1 Žaliavų gavimas'!G190)</x:f>
      </x:c>
      <x:c r="E187" s="13" t="str">
        <x:f>IF($A187="","",'1 Žaliavų gavimas'!C190)</x:f>
      </x:c>
      <x:c r="F187" s="13" t="str">
        <x:f>IF($A187="","",SUMIFS('5 Žaliavų perdavimai'!$E$4:$E$203,'5 Žaliavų perdavimai'!$D$4:$D$203,$B187))</x:f>
      </x:c>
      <x:c r="G187" s="13" t="str">
        <x:f>IF($A187="","",SUMIFS('3 Sunaudojimas'!$H$4:$H$163,'3 Sunaudojimas'!$F$4:$F$163,$B187)+SUMIFS('3 Sunaudojimas'!$K$4:$K$163,'3 Sunaudojimas'!$I$4:$I$163,$B187)+SUMIFS('3 Sunaudojimas'!$N$4:$N$163,'3 Sunaudojimas'!$L$4:$L$163,$B187))</x:f>
      </x:c>
      <x:c r="H187" s="13" t="str">
        <x:f t="shared" si="15"/>
      </x:c>
      <x:c r="I187" t="str">
        <x:f t="shared" ca="1" si="16"/>
      </x:c>
      <x:c r="J187" t="str">
        <x:f t="shared" ca="1" si="17"/>
      </x:c>
    </x:row>
    <x:row r="188">
      <x:c r="A188" t="str">
        <x:f>IF('1 Žaliavų gavimas'!B191="","",'1 Žaliavų gavimas'!B191)</x:f>
      </x:c>
      <x:c r="B188" t="str">
        <x:f>IF($A188="","",'1 Žaliavų gavimas'!D191)</x:f>
      </x:c>
      <x:c r="C188" s="12" t="str">
        <x:f>IF($A188="","",'1 Žaliavų gavimas'!A191)</x:f>
      </x:c>
      <x:c r="D188" s="12" t="str">
        <x:f>IF($A188="","",'1 Žaliavų gavimas'!G191)</x:f>
      </x:c>
      <x:c r="E188" s="13" t="str">
        <x:f>IF($A188="","",'1 Žaliavų gavimas'!C191)</x:f>
      </x:c>
      <x:c r="F188" s="13" t="str">
        <x:f>IF($A188="","",SUMIFS('5 Žaliavų perdavimai'!$E$4:$E$203,'5 Žaliavų perdavimai'!$D$4:$D$203,$B188))</x:f>
      </x:c>
      <x:c r="G188" s="13" t="str">
        <x:f>IF($A188="","",SUMIFS('3 Sunaudojimas'!$H$4:$H$163,'3 Sunaudojimas'!$F$4:$F$163,$B188)+SUMIFS('3 Sunaudojimas'!$K$4:$K$163,'3 Sunaudojimas'!$I$4:$I$163,$B188)+SUMIFS('3 Sunaudojimas'!$N$4:$N$163,'3 Sunaudojimas'!$L$4:$L$163,$B188))</x:f>
      </x:c>
      <x:c r="H188" s="13" t="str">
        <x:f t="shared" si="15"/>
      </x:c>
      <x:c r="I188" t="str">
        <x:f t="shared" ca="1" si="16"/>
      </x:c>
      <x:c r="J188" t="str">
        <x:f t="shared" ca="1" si="17"/>
      </x:c>
    </x:row>
    <x:row r="189">
      <x:c r="A189" t="str">
        <x:f>IF('1 Žaliavų gavimas'!B192="","",'1 Žaliavų gavimas'!B192)</x:f>
      </x:c>
      <x:c r="B189" t="str">
        <x:f>IF($A189="","",'1 Žaliavų gavimas'!D192)</x:f>
      </x:c>
      <x:c r="C189" s="12" t="str">
        <x:f>IF($A189="","",'1 Žaliavų gavimas'!A192)</x:f>
      </x:c>
      <x:c r="D189" s="12" t="str">
        <x:f>IF($A189="","",'1 Žaliavų gavimas'!G192)</x:f>
      </x:c>
      <x:c r="E189" s="13" t="str">
        <x:f>IF($A189="","",'1 Žaliavų gavimas'!C192)</x:f>
      </x:c>
      <x:c r="F189" s="13" t="str">
        <x:f>IF($A189="","",SUMIFS('5 Žaliavų perdavimai'!$E$4:$E$203,'5 Žaliavų perdavimai'!$D$4:$D$203,$B189))</x:f>
      </x:c>
      <x:c r="G189" s="13" t="str">
        <x:f>IF($A189="","",SUMIFS('3 Sunaudojimas'!$H$4:$H$163,'3 Sunaudojimas'!$F$4:$F$163,$B189)+SUMIFS('3 Sunaudojimas'!$K$4:$K$163,'3 Sunaudojimas'!$I$4:$I$163,$B189)+SUMIFS('3 Sunaudojimas'!$N$4:$N$163,'3 Sunaudojimas'!$L$4:$L$163,$B189))</x:f>
      </x:c>
      <x:c r="H189" s="13" t="str">
        <x:f t="shared" si="15"/>
      </x:c>
      <x:c r="I189" t="str">
        <x:f t="shared" ca="1" si="16"/>
      </x:c>
      <x:c r="J189" t="str">
        <x:f t="shared" ca="1" si="17"/>
      </x:c>
    </x:row>
    <x:row r="190">
      <x:c r="A190" t="str">
        <x:f>IF('1 Žaliavų gavimas'!B193="","",'1 Žaliavų gavimas'!B193)</x:f>
      </x:c>
      <x:c r="B190" t="str">
        <x:f>IF($A190="","",'1 Žaliavų gavimas'!D193)</x:f>
      </x:c>
      <x:c r="C190" s="12" t="str">
        <x:f>IF($A190="","",'1 Žaliavų gavimas'!A193)</x:f>
      </x:c>
      <x:c r="D190" s="12" t="str">
        <x:f>IF($A190="","",'1 Žaliavų gavimas'!G193)</x:f>
      </x:c>
      <x:c r="E190" s="13" t="str">
        <x:f>IF($A190="","",'1 Žaliavų gavimas'!C193)</x:f>
      </x:c>
      <x:c r="F190" s="13" t="str">
        <x:f>IF($A190="","",SUMIFS('5 Žaliavų perdavimai'!$E$4:$E$203,'5 Žaliavų perdavimai'!$D$4:$D$203,$B190))</x:f>
      </x:c>
      <x:c r="G190" s="13" t="str">
        <x:f>IF($A190="","",SUMIFS('3 Sunaudojimas'!$H$4:$H$163,'3 Sunaudojimas'!$F$4:$F$163,$B190)+SUMIFS('3 Sunaudojimas'!$K$4:$K$163,'3 Sunaudojimas'!$I$4:$I$163,$B190)+SUMIFS('3 Sunaudojimas'!$N$4:$N$163,'3 Sunaudojimas'!$L$4:$L$163,$B190))</x:f>
      </x:c>
      <x:c r="H190" s="13" t="str">
        <x:f t="shared" si="15"/>
      </x:c>
      <x:c r="I190" t="str">
        <x:f t="shared" ca="1" si="16"/>
      </x:c>
      <x:c r="J190" t="str">
        <x:f t="shared" ca="1" si="17"/>
      </x:c>
    </x:row>
    <x:row r="191">
      <x:c r="A191" t="str">
        <x:f>IF('1 Žaliavų gavimas'!B194="","",'1 Žaliavų gavimas'!B194)</x:f>
      </x:c>
      <x:c r="B191" t="str">
        <x:f>IF($A191="","",'1 Žaliavų gavimas'!D194)</x:f>
      </x:c>
      <x:c r="C191" s="12" t="str">
        <x:f>IF($A191="","",'1 Žaliavų gavimas'!A194)</x:f>
      </x:c>
      <x:c r="D191" s="12" t="str">
        <x:f>IF($A191="","",'1 Žaliavų gavimas'!G194)</x:f>
      </x:c>
      <x:c r="E191" s="13" t="str">
        <x:f>IF($A191="","",'1 Žaliavų gavimas'!C194)</x:f>
      </x:c>
      <x:c r="F191" s="13" t="str">
        <x:f>IF($A191="","",SUMIFS('5 Žaliavų perdavimai'!$E$4:$E$203,'5 Žaliavų perdavimai'!$D$4:$D$203,$B191))</x:f>
      </x:c>
      <x:c r="G191" s="13" t="str">
        <x:f>IF($A191="","",SUMIFS('3 Sunaudojimas'!$H$4:$H$163,'3 Sunaudojimas'!$F$4:$F$163,$B191)+SUMIFS('3 Sunaudojimas'!$K$4:$K$163,'3 Sunaudojimas'!$I$4:$I$163,$B191)+SUMIFS('3 Sunaudojimas'!$N$4:$N$163,'3 Sunaudojimas'!$L$4:$L$163,$B191))</x:f>
      </x:c>
      <x:c r="H191" s="13" t="str">
        <x:f t="shared" si="15"/>
      </x:c>
      <x:c r="I191" t="str">
        <x:f t="shared" ca="1" si="16"/>
      </x:c>
      <x:c r="J191" t="str">
        <x:f t="shared" ca="1" si="17"/>
      </x:c>
    </x:row>
    <x:row r="192">
      <x:c r="A192" t="str">
        <x:f>IF('1 Žaliavų gavimas'!B195="","",'1 Žaliavų gavimas'!B195)</x:f>
      </x:c>
      <x:c r="B192" t="str">
        <x:f>IF($A192="","",'1 Žaliavų gavimas'!D195)</x:f>
      </x:c>
      <x:c r="C192" s="12" t="str">
        <x:f>IF($A192="","",'1 Žaliavų gavimas'!A195)</x:f>
      </x:c>
      <x:c r="D192" s="12" t="str">
        <x:f>IF($A192="","",'1 Žaliavų gavimas'!G195)</x:f>
      </x:c>
      <x:c r="E192" s="13" t="str">
        <x:f>IF($A192="","",'1 Žaliavų gavimas'!C195)</x:f>
      </x:c>
      <x:c r="F192" s="13" t="str">
        <x:f>IF($A192="","",SUMIFS('5 Žaliavų perdavimai'!$E$4:$E$203,'5 Žaliavų perdavimai'!$D$4:$D$203,$B192))</x:f>
      </x:c>
      <x:c r="G192" s="13" t="str">
        <x:f>IF($A192="","",SUMIFS('3 Sunaudojimas'!$H$4:$H$163,'3 Sunaudojimas'!$F$4:$F$163,$B192)+SUMIFS('3 Sunaudojimas'!$K$4:$K$163,'3 Sunaudojimas'!$I$4:$I$163,$B192)+SUMIFS('3 Sunaudojimas'!$N$4:$N$163,'3 Sunaudojimas'!$L$4:$L$163,$B192))</x:f>
      </x:c>
      <x:c r="H192" s="13" t="str">
        <x:f t="shared" si="15"/>
      </x:c>
      <x:c r="I192" t="str">
        <x:f t="shared" ca="1" si="16"/>
      </x:c>
      <x:c r="J192" t="str">
        <x:f t="shared" ca="1" si="17"/>
      </x:c>
    </x:row>
    <x:row r="193">
      <x:c r="A193" t="str">
        <x:f>IF('1 Žaliavų gavimas'!B196="","",'1 Žaliavų gavimas'!B196)</x:f>
      </x:c>
      <x:c r="B193" t="str">
        <x:f>IF($A193="","",'1 Žaliavų gavimas'!D196)</x:f>
      </x:c>
      <x:c r="C193" s="12" t="str">
        <x:f>IF($A193="","",'1 Žaliavų gavimas'!A196)</x:f>
      </x:c>
      <x:c r="D193" s="12" t="str">
        <x:f>IF($A193="","",'1 Žaliavų gavimas'!G196)</x:f>
      </x:c>
      <x:c r="E193" s="13" t="str">
        <x:f>IF($A193="","",'1 Žaliavų gavimas'!C196)</x:f>
      </x:c>
      <x:c r="F193" s="13" t="str">
        <x:f>IF($A193="","",SUMIFS('5 Žaliavų perdavimai'!$E$4:$E$203,'5 Žaliavų perdavimai'!$D$4:$D$203,$B193))</x:f>
      </x:c>
      <x:c r="G193" s="13" t="str">
        <x:f>IF($A193="","",SUMIFS('3 Sunaudojimas'!$H$4:$H$163,'3 Sunaudojimas'!$F$4:$F$163,$B193)+SUMIFS('3 Sunaudojimas'!$K$4:$K$163,'3 Sunaudojimas'!$I$4:$I$163,$B193)+SUMIFS('3 Sunaudojimas'!$N$4:$N$163,'3 Sunaudojimas'!$L$4:$L$163,$B193))</x:f>
      </x:c>
      <x:c r="H193" s="13" t="str">
        <x:f t="shared" si="15"/>
      </x:c>
      <x:c r="I193" t="str">
        <x:f t="shared" ca="1" si="16"/>
      </x:c>
      <x:c r="J193" t="str">
        <x:f t="shared" ca="1" si="17"/>
      </x:c>
    </x:row>
    <x:row r="194">
      <x:c r="A194" t="str">
        <x:f>IF('1 Žaliavų gavimas'!B197="","",'1 Žaliavų gavimas'!B197)</x:f>
      </x:c>
      <x:c r="B194" t="str">
        <x:f>IF($A194="","",'1 Žaliavų gavimas'!D197)</x:f>
      </x:c>
      <x:c r="C194" s="12" t="str">
        <x:f>IF($A194="","",'1 Žaliavų gavimas'!A197)</x:f>
      </x:c>
      <x:c r="D194" s="12" t="str">
        <x:f>IF($A194="","",'1 Žaliavų gavimas'!G197)</x:f>
      </x:c>
      <x:c r="E194" s="13" t="str">
        <x:f>IF($A194="","",'1 Žaliavų gavimas'!C197)</x:f>
      </x:c>
      <x:c r="F194" s="13" t="str">
        <x:f>IF($A194="","",SUMIFS('5 Žaliavų perdavimai'!$E$4:$E$203,'5 Žaliavų perdavimai'!$D$4:$D$203,$B194))</x:f>
      </x:c>
      <x:c r="G194" s="13" t="str">
        <x:f>IF($A194="","",SUMIFS('3 Sunaudojimas'!$H$4:$H$163,'3 Sunaudojimas'!$F$4:$F$163,$B194)+SUMIFS('3 Sunaudojimas'!$K$4:$K$163,'3 Sunaudojimas'!$I$4:$I$163,$B194)+SUMIFS('3 Sunaudojimas'!$N$4:$N$163,'3 Sunaudojimas'!$L$4:$L$163,$B194))</x:f>
      </x:c>
      <x:c r="H194" s="13" t="str">
        <x:f t="shared" si="15"/>
      </x:c>
      <x:c r="I194" t="str">
        <x:f t="shared" ca="1" si="16"/>
      </x:c>
      <x:c r="J194" t="str">
        <x:f t="shared" ca="1" si="17"/>
      </x:c>
    </x:row>
    <x:row r="195">
      <x:c r="A195" t="str">
        <x:f>IF('1 Žaliavų gavimas'!B198="","",'1 Žaliavų gavimas'!B198)</x:f>
      </x:c>
      <x:c r="B195" t="str">
        <x:f>IF($A195="","",'1 Žaliavų gavimas'!D198)</x:f>
      </x:c>
      <x:c r="C195" s="12" t="str">
        <x:f>IF($A195="","",'1 Žaliavų gavimas'!A198)</x:f>
      </x:c>
      <x:c r="D195" s="12" t="str">
        <x:f>IF($A195="","",'1 Žaliavų gavimas'!G198)</x:f>
      </x:c>
      <x:c r="E195" s="13" t="str">
        <x:f>IF($A195="","",'1 Žaliavų gavimas'!C198)</x:f>
      </x:c>
      <x:c r="F195" s="13" t="str">
        <x:f>IF($A195="","",SUMIFS('5 Žaliavų perdavimai'!$E$4:$E$203,'5 Žaliavų perdavimai'!$D$4:$D$203,$B195))</x:f>
      </x:c>
      <x:c r="G195" s="13" t="str">
        <x:f>IF($A195="","",SUMIFS('3 Sunaudojimas'!$H$4:$H$163,'3 Sunaudojimas'!$F$4:$F$163,$B195)+SUMIFS('3 Sunaudojimas'!$K$4:$K$163,'3 Sunaudojimas'!$I$4:$I$163,$B195)+SUMIFS('3 Sunaudojimas'!$N$4:$N$163,'3 Sunaudojimas'!$L$4:$L$163,$B195))</x:f>
      </x:c>
      <x:c r="H195" s="13" t="str">
        <x:f t="shared" si="15"/>
      </x:c>
      <x:c r="I195" t="str">
        <x:f t="shared" ca="1" si="16"/>
      </x:c>
      <x:c r="J195" t="str">
        <x:f t="shared" ca="1" si="17"/>
      </x:c>
    </x:row>
    <x:row r="196">
      <x:c r="A196" t="str">
        <x:f>IF('1 Žaliavų gavimas'!B199="","",'1 Žaliavų gavimas'!B199)</x:f>
      </x:c>
      <x:c r="B196" t="str">
        <x:f>IF($A196="","",'1 Žaliavų gavimas'!D199)</x:f>
      </x:c>
      <x:c r="C196" s="12" t="str">
        <x:f>IF($A196="","",'1 Žaliavų gavimas'!A199)</x:f>
      </x:c>
      <x:c r="D196" s="12" t="str">
        <x:f>IF($A196="","",'1 Žaliavų gavimas'!G199)</x:f>
      </x:c>
      <x:c r="E196" s="13" t="str">
        <x:f>IF($A196="","",'1 Žaliavų gavimas'!C199)</x:f>
      </x:c>
      <x:c r="F196" s="13" t="str">
        <x:f>IF($A196="","",SUMIFS('5 Žaliavų perdavimai'!$E$4:$E$203,'5 Žaliavų perdavimai'!$D$4:$D$203,$B196))</x:f>
      </x:c>
      <x:c r="G196" s="13" t="str">
        <x:f>IF($A196="","",SUMIFS('3 Sunaudojimas'!$H$4:$H$163,'3 Sunaudojimas'!$F$4:$F$163,$B196)+SUMIFS('3 Sunaudojimas'!$K$4:$K$163,'3 Sunaudojimas'!$I$4:$I$163,$B196)+SUMIFS('3 Sunaudojimas'!$N$4:$N$163,'3 Sunaudojimas'!$L$4:$L$163,$B196))</x:f>
      </x:c>
      <x:c r="H196" s="13" t="str">
        <x:f t="shared" ref="H196:H203" si="18">IF($A196="","",$E196-$F196-$G196)</x:f>
      </x:c>
      <x:c r="I196" t="str">
        <x:f t="shared" ref="I196:I203" ca="1" si="19">IF(OR($A196="",$D196=""),"",$D196-TODAY())</x:f>
      </x:c>
      <x:c r="J196" t="str">
        <x:f t="shared" ref="J196:J203" ca="1" si="20">IF($A196="","",IF($H196&lt;-0.001,"KONFLIKTAS – VIRŠYTAS LIKUTIS",IF($H196&lt;=0.001,"IŠNAUDOTA",IF($D196="","GALIOJIMAS NENURODYTAS",IF($D196&lt;TODAY(),"PASIBAIGĘS",IF($D196&lt;=TODAY()+3,"BAIGIASI ≤3 D.",IF($D196&lt;=TODAY()+7,"BAIGIASI ≤7 D.","OK")))))))</x:f>
      </x:c>
    </x:row>
    <x:row r="197">
      <x:c r="A197" t="str">
        <x:f>IF('1 Žaliavų gavimas'!B200="","",'1 Žaliavų gavimas'!B200)</x:f>
      </x:c>
      <x:c r="B197" t="str">
        <x:f>IF($A197="","",'1 Žaliavų gavimas'!D200)</x:f>
      </x:c>
      <x:c r="C197" s="12" t="str">
        <x:f>IF($A197="","",'1 Žaliavų gavimas'!A200)</x:f>
      </x:c>
      <x:c r="D197" s="12" t="str">
        <x:f>IF($A197="","",'1 Žaliavų gavimas'!G200)</x:f>
      </x:c>
      <x:c r="E197" s="13" t="str">
        <x:f>IF($A197="","",'1 Žaliavų gavimas'!C200)</x:f>
      </x:c>
      <x:c r="F197" s="13" t="str">
        <x:f>IF($A197="","",SUMIFS('5 Žaliavų perdavimai'!$E$4:$E$203,'5 Žaliavų perdavimai'!$D$4:$D$203,$B197))</x:f>
      </x:c>
      <x:c r="G197" s="13" t="str">
        <x:f>IF($A197="","",SUMIFS('3 Sunaudojimas'!$H$4:$H$163,'3 Sunaudojimas'!$F$4:$F$163,$B197)+SUMIFS('3 Sunaudojimas'!$K$4:$K$163,'3 Sunaudojimas'!$I$4:$I$163,$B197)+SUMIFS('3 Sunaudojimas'!$N$4:$N$163,'3 Sunaudojimas'!$L$4:$L$163,$B197))</x:f>
      </x:c>
      <x:c r="H197" s="13" t="str">
        <x:f t="shared" si="18"/>
      </x:c>
      <x:c r="I197" t="str">
        <x:f t="shared" ca="1" si="19"/>
      </x:c>
      <x:c r="J197" t="str">
        <x:f t="shared" ca="1" si="20"/>
      </x:c>
    </x:row>
    <x:row r="198">
      <x:c r="A198" t="str">
        <x:f>IF('1 Žaliavų gavimas'!B201="","",'1 Žaliavų gavimas'!B201)</x:f>
      </x:c>
      <x:c r="B198" t="str">
        <x:f>IF($A198="","",'1 Žaliavų gavimas'!D201)</x:f>
      </x:c>
      <x:c r="C198" s="12" t="str">
        <x:f>IF($A198="","",'1 Žaliavų gavimas'!A201)</x:f>
      </x:c>
      <x:c r="D198" s="12" t="str">
        <x:f>IF($A198="","",'1 Žaliavų gavimas'!G201)</x:f>
      </x:c>
      <x:c r="E198" s="13" t="str">
        <x:f>IF($A198="","",'1 Žaliavų gavimas'!C201)</x:f>
      </x:c>
      <x:c r="F198" s="13" t="str">
        <x:f>IF($A198="","",SUMIFS('5 Žaliavų perdavimai'!$E$4:$E$203,'5 Žaliavų perdavimai'!$D$4:$D$203,$B198))</x:f>
      </x:c>
      <x:c r="G198" s="13" t="str">
        <x:f>IF($A198="","",SUMIFS('3 Sunaudojimas'!$H$4:$H$163,'3 Sunaudojimas'!$F$4:$F$163,$B198)+SUMIFS('3 Sunaudojimas'!$K$4:$K$163,'3 Sunaudojimas'!$I$4:$I$163,$B198)+SUMIFS('3 Sunaudojimas'!$N$4:$N$163,'3 Sunaudojimas'!$L$4:$L$163,$B198))</x:f>
      </x:c>
      <x:c r="H198" s="13" t="str">
        <x:f t="shared" si="18"/>
      </x:c>
      <x:c r="I198" t="str">
        <x:f t="shared" ca="1" si="19"/>
      </x:c>
      <x:c r="J198" t="str">
        <x:f t="shared" ca="1" si="20"/>
      </x:c>
    </x:row>
    <x:row r="199">
      <x:c r="A199" t="str">
        <x:f>IF('1 Žaliavų gavimas'!B202="","",'1 Žaliavų gavimas'!B202)</x:f>
      </x:c>
      <x:c r="B199" t="str">
        <x:f>IF($A199="","",'1 Žaliavų gavimas'!D202)</x:f>
      </x:c>
      <x:c r="C199" s="12" t="str">
        <x:f>IF($A199="","",'1 Žaliavų gavimas'!A202)</x:f>
      </x:c>
      <x:c r="D199" s="12" t="str">
        <x:f>IF($A199="","",'1 Žaliavų gavimas'!G202)</x:f>
      </x:c>
      <x:c r="E199" s="13" t="str">
        <x:f>IF($A199="","",'1 Žaliavų gavimas'!C202)</x:f>
      </x:c>
      <x:c r="F199" s="13" t="str">
        <x:f>IF($A199="","",SUMIFS('5 Žaliavų perdavimai'!$E$4:$E$203,'5 Žaliavų perdavimai'!$D$4:$D$203,$B199))</x:f>
      </x:c>
      <x:c r="G199" s="13" t="str">
        <x:f>IF($A199="","",SUMIFS('3 Sunaudojimas'!$H$4:$H$163,'3 Sunaudojimas'!$F$4:$F$163,$B199)+SUMIFS('3 Sunaudojimas'!$K$4:$K$163,'3 Sunaudojimas'!$I$4:$I$163,$B199)+SUMIFS('3 Sunaudojimas'!$N$4:$N$163,'3 Sunaudojimas'!$L$4:$L$163,$B199))</x:f>
      </x:c>
      <x:c r="H199" s="13" t="str">
        <x:f t="shared" si="18"/>
      </x:c>
      <x:c r="I199" t="str">
        <x:f t="shared" ca="1" si="19"/>
      </x:c>
      <x:c r="J199" t="str">
        <x:f t="shared" ca="1" si="20"/>
      </x:c>
    </x:row>
    <x:row r="200">
      <x:c r="A200" t="str">
        <x:f>IF('1 Žaliavų gavimas'!B203="","",'1 Žaliavų gavimas'!B203)</x:f>
      </x:c>
      <x:c r="B200" t="str">
        <x:f>IF($A200="","",'1 Žaliavų gavimas'!D203)</x:f>
      </x:c>
      <x:c r="C200" s="12" t="str">
        <x:f>IF($A200="","",'1 Žaliavų gavimas'!A203)</x:f>
      </x:c>
      <x:c r="D200" s="12" t="str">
        <x:f>IF($A200="","",'1 Žaliavų gavimas'!G203)</x:f>
      </x:c>
      <x:c r="E200" s="13" t="str">
        <x:f>IF($A200="","",'1 Žaliavų gavimas'!C203)</x:f>
      </x:c>
      <x:c r="F200" s="13" t="str">
        <x:f>IF($A200="","",SUMIFS('5 Žaliavų perdavimai'!$E$4:$E$203,'5 Žaliavų perdavimai'!$D$4:$D$203,$B200))</x:f>
      </x:c>
      <x:c r="G200" s="13" t="str">
        <x:f>IF($A200="","",SUMIFS('3 Sunaudojimas'!$H$4:$H$163,'3 Sunaudojimas'!$F$4:$F$163,$B200)+SUMIFS('3 Sunaudojimas'!$K$4:$K$163,'3 Sunaudojimas'!$I$4:$I$163,$B200)+SUMIFS('3 Sunaudojimas'!$N$4:$N$163,'3 Sunaudojimas'!$L$4:$L$163,$B200))</x:f>
      </x:c>
      <x:c r="H200" s="13" t="str">
        <x:f t="shared" si="18"/>
      </x:c>
      <x:c r="I200" t="str">
        <x:f t="shared" ca="1" si="19"/>
      </x:c>
      <x:c r="J200" t="str">
        <x:f t="shared" ca="1" si="20"/>
      </x:c>
    </x:row>
    <x:row r="201">
      <x:c r="A201" t="str">
        <x:f>IF('1 Žaliavų gavimas'!B204="","",'1 Žaliavų gavimas'!B204)</x:f>
      </x:c>
      <x:c r="B201" t="str">
        <x:f>IF($A201="","",'1 Žaliavų gavimas'!D204)</x:f>
      </x:c>
      <x:c r="C201" s="12" t="str">
        <x:f>IF($A201="","",'1 Žaliavų gavimas'!A204)</x:f>
      </x:c>
      <x:c r="D201" s="12" t="str">
        <x:f>IF($A201="","",'1 Žaliavų gavimas'!G204)</x:f>
      </x:c>
      <x:c r="E201" s="13" t="str">
        <x:f>IF($A201="","",'1 Žaliavų gavimas'!C204)</x:f>
      </x:c>
      <x:c r="F201" s="13" t="str">
        <x:f>IF($A201="","",SUMIFS('5 Žaliavų perdavimai'!$E$4:$E$203,'5 Žaliavų perdavimai'!$D$4:$D$203,$B201))</x:f>
      </x:c>
      <x:c r="G201" s="13" t="str">
        <x:f>IF($A201="","",SUMIFS('3 Sunaudojimas'!$H$4:$H$163,'3 Sunaudojimas'!$F$4:$F$163,$B201)+SUMIFS('3 Sunaudojimas'!$K$4:$K$163,'3 Sunaudojimas'!$I$4:$I$163,$B201)+SUMIFS('3 Sunaudojimas'!$N$4:$N$163,'3 Sunaudojimas'!$L$4:$L$163,$B201))</x:f>
      </x:c>
      <x:c r="H201" s="13" t="str">
        <x:f t="shared" si="18"/>
      </x:c>
      <x:c r="I201" t="str">
        <x:f t="shared" ca="1" si="19"/>
      </x:c>
      <x:c r="J201" t="str">
        <x:f t="shared" ca="1" si="20"/>
      </x:c>
    </x:row>
    <x:row r="202">
      <x:c r="A202" t="str">
        <x:f>IF('1 Žaliavų gavimas'!B205="","",'1 Žaliavų gavimas'!B205)</x:f>
      </x:c>
      <x:c r="B202" t="str">
        <x:f>IF($A202="","",'1 Žaliavų gavimas'!D205)</x:f>
      </x:c>
      <x:c r="C202" s="12" t="str">
        <x:f>IF($A202="","",'1 Žaliavų gavimas'!A205)</x:f>
      </x:c>
      <x:c r="D202" s="12" t="str">
        <x:f>IF($A202="","",'1 Žaliavų gavimas'!G205)</x:f>
      </x:c>
      <x:c r="E202" s="13" t="str">
        <x:f>IF($A202="","",'1 Žaliavų gavimas'!C205)</x:f>
      </x:c>
      <x:c r="F202" s="13" t="str">
        <x:f>IF($A202="","",SUMIFS('5 Žaliavų perdavimai'!$E$4:$E$203,'5 Žaliavų perdavimai'!$D$4:$D$203,$B202))</x:f>
      </x:c>
      <x:c r="G202" s="13" t="str">
        <x:f>IF($A202="","",SUMIFS('3 Sunaudojimas'!$H$4:$H$163,'3 Sunaudojimas'!$F$4:$F$163,$B202)+SUMIFS('3 Sunaudojimas'!$K$4:$K$163,'3 Sunaudojimas'!$I$4:$I$163,$B202)+SUMIFS('3 Sunaudojimas'!$N$4:$N$163,'3 Sunaudojimas'!$L$4:$L$163,$B202))</x:f>
      </x:c>
      <x:c r="H202" s="13" t="str">
        <x:f t="shared" si="18"/>
      </x:c>
      <x:c r="I202" t="str">
        <x:f t="shared" ca="1" si="19"/>
      </x:c>
      <x:c r="J202" t="str">
        <x:f t="shared" ca="1" si="20"/>
      </x:c>
    </x:row>
    <x:row r="203">
      <x:c r="A203" t="str">
        <x:f>IF('1 Žaliavų gavimas'!B206="","",'1 Žaliavų gavimas'!B206)</x:f>
      </x:c>
      <x:c r="B203" t="str">
        <x:f>IF($A203="","",'1 Žaliavų gavimas'!D206)</x:f>
      </x:c>
      <x:c r="C203" s="12" t="str">
        <x:f>IF($A203="","",'1 Žaliavų gavimas'!A206)</x:f>
      </x:c>
      <x:c r="D203" s="12" t="str">
        <x:f>IF($A203="","",'1 Žaliavų gavimas'!G206)</x:f>
      </x:c>
      <x:c r="E203" s="13" t="str">
        <x:f>IF($A203="","",'1 Žaliavų gavimas'!C206)</x:f>
      </x:c>
      <x:c r="F203" s="13" t="str">
        <x:f>IF($A203="","",SUMIFS('5 Žaliavų perdavimai'!$E$4:$E$203,'5 Žaliavų perdavimai'!$D$4:$D$203,$B203))</x:f>
      </x:c>
      <x:c r="G203" s="13" t="str">
        <x:f>IF($A203="","",SUMIFS('3 Sunaudojimas'!$H$4:$H$163,'3 Sunaudojimas'!$F$4:$F$163,$B203)+SUMIFS('3 Sunaudojimas'!$K$4:$K$163,'3 Sunaudojimas'!$I$4:$I$163,$B203)+SUMIFS('3 Sunaudojimas'!$N$4:$N$163,'3 Sunaudojimas'!$L$4:$L$163,$B203))</x:f>
      </x:c>
      <x:c r="H203" s="13" t="str">
        <x:f t="shared" si="18"/>
      </x:c>
      <x:c r="I203" t="str">
        <x:f t="shared" ca="1" si="19"/>
      </x:c>
      <x:c r="J203" t="str">
        <x:f t="shared" ca="1" si="20"/>
      </x:c>
    </x:row>
  </x:sheetData>
  <x:mergeCells>
    <x:mergeCell ref="A1:J1"/>
    <x:mergeCell ref="A2:J2"/>
  </x:mergeCells>
  <x:conditionalFormatting sqref="A4:J203">
    <x:cfRule type="expression" dxfId="4" priority="1">
      <x:formula>$J4="PASIBAIGĘS"</x:formula>
    </x:cfRule>
    <x:cfRule type="expression" dxfId="3" priority="2">
      <x:formula>$J4="BAIGIASI ≤3 D."</x:formula>
    </x:cfRule>
    <x:cfRule type="expression" dxfId="2" priority="3">
      <x:formula>$J4="BAIGIASI ≤7 D."</x:formula>
    </x:cfRule>
    <x:cfRule type="expression" dxfId="1" priority="4">
      <x:formula>$J4="OK"</x:formula>
    </x:cfRule>
    <x:cfRule type="expression" dxfId="0" priority="5">
      <x:formula>LEFT($J4,9)="KONFLIKTA"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cols>
    <x:col min="1" max="1" width="13" customWidth="1"/>
    <x:col min="2" max="2" width="22" customWidth="1"/>
    <x:col min="3" max="3" width="16" customWidth="1"/>
    <x:col min="4" max="4" width="30" customWidth="1"/>
    <x:col min="5" max="5" width="18" customWidth="1"/>
    <x:col min="6" max="6" width="11" customWidth="1"/>
    <x:col min="7" max="7" width="30" customWidth="1"/>
    <x:col min="9" max="9" width="13" customWidth="1"/>
    <x:col min="10" max="10" width="22" customWidth="1"/>
    <x:col min="11" max="11" width="30" customWidth="1"/>
    <x:col min="12" max="12" width="14" customWidth="1"/>
    <x:col min="13" max="15" width="24" customWidth="1"/>
    <x:col min="16" max="16" width="13" customWidth="1"/>
    <x:col min="17" max="17" width="30" customWidth="1"/>
  </x:cols>
  <x:sheetData>
    <x:row r="1" ht="18">
      <x:c r="A1" s="19" t="s">
        <x:v>252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I2" t="str">
        <x:v>Šakotis, kg</x:v>
      </x:c>
      <x:c r="J2" t="n">
        <x:f>IF($J$3="","",SUMIFS('2 Gamyba'!$C$4:$C$99,'2 Gamyba'!$D$4:$D$99,$J$3,'2 Gamyba'!$B$4:$B$99,"Šakotis"))</x:f>
        <x:v>761.4399999999999</x:v>
      </x:c>
      <x:c r="K2" t="str">
        <x:v>Trapus, kg</x:v>
      </x:c>
      <x:c r="L2" t="n">
        <x:f>IF($J$3="","",SUMIFS('2 Gamyba'!$C$4:$C$99,'2 Gamyba'!$D$4:$D$99,$J$3,'2 Gamyba'!$B$4:$B$99,"Trapus šakotis"))</x:f>
        <x:v>440.99999999999994</x:v>
      </x:c>
      <x:c r="M2" t="str">
        <x:v>Sviestinis, kg</x:v>
      </x:c>
      <x:c r="N2" t="n">
        <x:f>IF($J$3="","",SUMIFS('2 Gamyba'!$C$4:$C$99,'2 Gamyba'!$D$4:$D$99,$J$3,'2 Gamyba'!$B$4:$B$99,"Šakotis su sviestu"))</x:f>
        <x:v>0</x:v>
      </x:c>
      <x:c r="O2" t="str">
        <x:v>Iš viso, kg</x:v>
      </x:c>
      <x:c r="P2" t="n">
        <x:f>IF($J$3="","",SUM(J2,L2,N2))</x:f>
        <x:v>1202.4399999999998</x:v>
      </x:c>
    </x:row>
    <x:row r="3">
      <x:c r="A3" t="s">
        <x:v>253</x:v>
      </x:c>
      <x:c r="B3" s="14" t="s">
        <x:v>13</x:v>
      </x:c>
      <x:c r="I3" t="s">
        <x:v>254</x:v>
      </x:c>
      <x:c r="J3" s="14" t="s">
        <x:v>206</x:v>
      </x:c>
    </x:row>
    <x:row r="5" ht="28">
      <x:c r="A5" s="11" t="s">
        <x:v>3</x:v>
      </x:c>
      <x:c r="B5" s="11" t="s">
        <x:v>2</x:v>
      </x:c>
      <x:c r="C5" s="11" t="s">
        <x:v>255</x:v>
      </x:c>
      <x:c r="D5" s="11" t="s">
        <x:v>249</x:v>
      </x:c>
      <x:c r="E5" s="11" t="s">
        <x:v>10</x:v>
      </x:c>
      <x:c r="F5" s="11" t="s">
        <x:v>11</x:v>
      </x:c>
      <x:c r="I5" s="11" t="s">
        <x:v>199</x:v>
      </x:c>
      <x:c r="J5" s="11" t="s">
        <x:v>200</x:v>
      </x:c>
      <x:c r="K5" s="11" t="s">
        <x:v>3</x:v>
      </x:c>
      <x:c r="L5" s="11" t="s">
        <x:v>221</x:v>
      </x:c>
      <x:c r="M5" s="11" t="s">
        <x:v>256</x:v>
      </x:c>
      <x:c r="N5" s="11" t="s">
        <x:v>257</x:v>
      </x:c>
      <x:c r="O5" s="11" t="s">
        <x:v>258</x:v>
      </x:c>
      <x:c r="P5" s="11" t="s">
        <x:v>232</x:v>
      </x:c>
      <x:c r="Q5" s="11" t="s">
        <x:v>233</x:v>
      </x:c>
    </x:row>
    <x:row r="6">
      <x:c r="A6" t="str">
        <x:f>IF($B$3="","",IFERROR(INDEX('1 Žaliavų gavimas'!$B$4:$B$206,MATCH($B$3,'1 Žaliavų gavimas'!$D$4:$D$206,0)),""))</x:f>
        <x:v>Miltai</x:v>
      </x:c>
      <x:c r="B6" s="12" t="n">
        <x:f>IF($B$3="","",IFERROR(INDEX('1 Žaliavų gavimas'!$A$4:$A$206,MATCH($B$3,'1 Žaliavų gavimas'!$D$4:$D$206,0)),""))</x:f>
        <x:v>46203</x:v>
      </x:c>
      <x:c r="C6" s="12" t="n">
        <x:f>IF($B$3="","",IFERROR(INDEX('1 Žaliavų gavimas'!$G$4:$G$206,MATCH($B$3,'1 Žaliavų gavimas'!$D$4:$D$206,0)),""))</x:f>
        <x:v>46419</x:v>
      </x:c>
      <x:c r="D6" s="13" t="n">
        <x:f>IF($B$3="","",IFERROR(INDEX('1 Žaliavų gavimas'!$C$4:$C$206,MATCH($B$3,'1 Žaliavų gavimas'!$D$4:$D$206,0)),""))</x:f>
        <x:v>1650</x:v>
      </x:c>
      <x:c r="E6" s="13" t="n">
        <x:f>IF($B$3="","",SUMIFS('5 Žaliavų perdavimai'!$E$4:$E$203,'5 Žaliavų perdavimai'!$D$4:$D$203,$B$3))</x:f>
        <x:v>0</x:v>
      </x:c>
      <x:c r="F6" s="13" t="n">
        <x:f>IF($B$3="","",IFERROR(INDEX('6 Partijų likučiai'!$H$4:$H$203,MATCH($B$3,'6 Partijų likučiai'!$B$4:$B$203,0)),""))</x:f>
        <x:v>0</x:v>
      </x:c>
      <x:c r="I6" s="12" t="n">
        <x:f>IF($J$3="","",IFERROR(_xlfn._xlws.FILTER(CHOOSE({1,2,3,4,5,6,7,8,9},'3 Sunaudojimas'!$A$4:$A$771,'3 Sunaudojimas'!$B$4:$B$771,'3 Sunaudojimas'!$D$4:$D$771,'3 Sunaudojimas'!$E$4:$E$771,'3 Sunaudojimas'!$F$4:$F$771&amp;IF('3 Sunaudojimas'!$F$4:$F$771&lt;&gt;""," / "&amp;TEXT('3 Sunaudojimas'!$H$4:$H$771,"0.000"),""),'3 Sunaudojimas'!$I$4:$I$771&amp;IF('3 Sunaudojimas'!$I$4:$I$771&lt;&gt;""," / "&amp;TEXT('3 Sunaudojimas'!$K$4:$K$771,"0.000"),""),'3 Sunaudojimas'!$L$4:$L$771&amp;IF('3 Sunaudojimas'!$L$4:$L$771&lt;&gt;""," / "&amp;TEXT('3 Sunaudojimas'!$N$4:$N$771,"0.000"),""),'3 Sunaudojimas'!$P$4:$P$771,'3 Sunaudojimas'!$Q$4:$Q$771),'3 Sunaudojimas'!$C$4:$C$771=$J$3),""))</x:f>
        <x:v>46204</x:v>
      </x:c>
      <x:c r="L6" s="13"/>
      <x:c r="P6" s="13"/>
    </x:row>
    <x:row r="7">
      <x:c r="I7" s="12"/>
      <x:c r="L7" s="13"/>
      <x:c r="P7" s="13"/>
    </x:row>
    <x:row r="8" ht="28">
      <x:c r="A8" s="11" t="s">
        <x:v>199</x:v>
      </x:c>
      <x:c r="B8" s="11" t="s">
        <x:v>200</x:v>
      </x:c>
      <x:c r="C8" s="11" t="s">
        <x:v>220</x:v>
      </x:c>
      <x:c r="D8" s="11" t="s">
        <x:v>3</x:v>
      </x:c>
      <x:c r="E8" s="11" t="s">
        <x:v>259</x:v>
      </x:c>
      <x:c r="F8" s="11" t="s">
        <x:v>260</x:v>
      </x:c>
      <x:c r="G8" s="11" t="s">
        <x:v>233</x:v>
      </x:c>
      <x:c r="I8" s="12"/>
      <x:c r="L8" s="13"/>
      <x:c r="P8" s="13"/>
    </x:row>
    <x:row r="9">
      <x:c r="A9" s="12" t="n">
        <x:f>IF($B$3="","",IFERROR(_xlfn._xlws.FILTER(CHOOSE({1,2,3,4,5,6,7},'3 Sunaudojimas'!$A$4:$A$771,'3 Sunaudojimas'!$B$4:$B$771,'3 Sunaudojimas'!$C$4:$C$771,'3 Sunaudojimas'!$D$4:$D$771,IF('3 Sunaudojimas'!$F$4:$F$771=$B$3,'3 Sunaudojimas'!$H$4:$H$771,0)+IF('3 Sunaudojimas'!$I$4:$I$771=$B$3,'3 Sunaudojimas'!$K$4:$K$771,0)+IF('3 Sunaudojimas'!$L$4:$L$771=$B$3,'3 Sunaudojimas'!$N$4:$N$771,0),IF('3 Sunaudojimas'!$F$4:$F$771=$B$3,1,IF('3 Sunaudojimas'!$I$4:$I$771=$B$3,2,IF('3 Sunaudojimas'!$L$4:$L$771=$B$3,3,""))),'3 Sunaudojimas'!$Q$4:$Q$771),('3 Sunaudojimas'!$F$4:$F$771=$B$3)+('3 Sunaudojimas'!$I$4:$I$771=$B$3)+('3 Sunaudojimas'!$L$4:$L$771=$B$3)&gt;0),""))</x:f>
        <x:v>46204</x:v>
      </x:c>
      <x:c r="I9" s="12"/>
      <x:c r="L9" s="13"/>
      <x:c r="P9" s="13"/>
    </x:row>
    <x:row r="10">
      <x:c r="A10" s="12"/>
      <x:c r="I10" s="12"/>
      <x:c r="L10" s="13"/>
      <x:c r="P10" s="13"/>
    </x:row>
    <x:row r="11">
      <x:c r="A11" s="12"/>
      <x:c r="I11" s="12"/>
      <x:c r="L11" s="13"/>
      <x:c r="P11" s="13"/>
    </x:row>
    <x:row r="12">
      <x:c r="A12" s="12"/>
      <x:c r="I12" s="12"/>
      <x:c r="L12" s="13"/>
      <x:c r="P12" s="13"/>
    </x:row>
    <x:row r="13">
      <x:c r="A13" s="12"/>
      <x:c r="I13" s="12"/>
      <x:c r="L13" s="13"/>
      <x:c r="P13" s="13"/>
    </x:row>
    <x:row r="14">
      <x:c r="A14" s="12"/>
      <x:c r="I14" s="12"/>
      <x:c r="L14" s="13"/>
      <x:c r="P14" s="13"/>
    </x:row>
    <x:row r="15">
      <x:c r="A15" s="12"/>
      <x:c r="I15" s="12"/>
      <x:c r="L15" s="13"/>
      <x:c r="P15" s="13"/>
    </x:row>
    <x:row r="16">
      <x:c r="A16" s="12"/>
      <x:c r="I16" s="12"/>
      <x:c r="L16" s="13"/>
      <x:c r="P16" s="13"/>
    </x:row>
    <x:row r="17">
      <x:c r="A17" s="12"/>
      <x:c r="I17" s="12"/>
      <x:c r="L17" s="13"/>
      <x:c r="P17" s="13"/>
    </x:row>
    <x:row r="18">
      <x:c r="A18" s="12"/>
      <x:c r="I18" s="12"/>
      <x:c r="L18" s="13"/>
      <x:c r="P18" s="13"/>
    </x:row>
    <x:row r="19">
      <x:c r="A19" s="12"/>
      <x:c r="I19" s="12"/>
      <x:c r="L19" s="13"/>
      <x:c r="P19" s="13"/>
    </x:row>
    <x:row r="20">
      <x:c r="A20" s="12"/>
      <x:c r="I20" s="12"/>
      <x:c r="L20" s="13"/>
      <x:c r="P20" s="13"/>
    </x:row>
    <x:row r="21">
      <x:c r="A21" s="12"/>
      <x:c r="I21" s="12"/>
      <x:c r="L21" s="13"/>
      <x:c r="P21" s="13"/>
    </x:row>
    <x:row r="22">
      <x:c r="A22" s="12"/>
      <x:c r="I22" s="12"/>
      <x:c r="L22" s="13"/>
      <x:c r="P22" s="13"/>
    </x:row>
    <x:row r="23">
      <x:c r="A23" s="12"/>
      <x:c r="I23" s="12"/>
      <x:c r="L23" s="13"/>
      <x:c r="P23" s="13"/>
    </x:row>
    <x:row r="24">
      <x:c r="A24" s="12"/>
      <x:c r="I24" s="12"/>
      <x:c r="L24" s="13"/>
      <x:c r="P24" s="13"/>
    </x:row>
    <x:row r="25">
      <x:c r="A25" s="12"/>
      <x:c r="I25" s="12"/>
      <x:c r="L25" s="13"/>
      <x:c r="P25" s="13"/>
    </x:row>
    <x:row r="26">
      <x:c r="A26" s="12"/>
      <x:c r="I26" s="12"/>
      <x:c r="L26" s="13"/>
      <x:c r="P26" s="13"/>
    </x:row>
    <x:row r="27">
      <x:c r="A27" s="12"/>
      <x:c r="I27" s="12"/>
      <x:c r="L27" s="13"/>
      <x:c r="P27" s="13"/>
    </x:row>
    <x:row r="28">
      <x:c r="A28" s="12"/>
      <x:c r="I28" s="12"/>
      <x:c r="L28" s="13"/>
      <x:c r="P28" s="13"/>
    </x:row>
    <x:row r="29">
      <x:c r="A29" s="12"/>
      <x:c r="I29" s="12"/>
      <x:c r="L29" s="13"/>
      <x:c r="P29" s="13"/>
    </x:row>
    <x:row r="30">
      <x:c r="A30" s="12"/>
      <x:c r="I30" s="12"/>
      <x:c r="L30" s="13"/>
      <x:c r="P30" s="13"/>
    </x:row>
  </x:sheetData>
  <x:mergeCells>
    <x:mergeCell ref="A1:Q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"/>
  <x:cols>
    <x:col min="1" max="1" width="38" customWidth="1"/>
    <x:col min="2" max="2" width="18" customWidth="1"/>
    <x:col min="4" max="4" width="34" customWidth="1"/>
    <x:col min="5" max="6" width="14" customWidth="1"/>
    <x:col min="7" max="7" width="16" customWidth="1"/>
    <x:col min="8" max="8" width="14" customWidth="1"/>
  </x:cols>
  <x:sheetData>
    <x:row r="1" ht="18">
      <x:c r="A1" s="19" t="s">
        <x:v>261</x:v>
      </x:c>
      <x:c r="B1" s="19"/>
      <x:c r="C1" s="19"/>
      <x:c r="D1" s="19"/>
      <x:c r="E1" s="19"/>
      <x:c r="F1" s="19"/>
      <x:c r="G1" s="19"/>
      <x:c r="H1" s="19"/>
    </x:row>
    <x:row r="3">
      <x:c r="A3" s="11" t="s">
        <x:v>262</x:v>
      </x:c>
      <x:c r="B3" s="11" t="s">
        <x:v>263</x:v>
      </x:c>
      <x:c r="D3" s="11" t="s">
        <x:v>3</x:v>
      </x:c>
      <x:c r="E3" s="11" t="s">
        <x:v>249</x:v>
      </x:c>
      <x:c r="F3" s="11" t="s">
        <x:v>10</x:v>
      </x:c>
      <x:c r="G3" s="11" t="s">
        <x:v>264</x:v>
      </x:c>
      <x:c r="H3" s="11" t="s">
        <x:v>265</x:v>
      </x:c>
    </x:row>
    <x:row r="4">
      <x:c r="A4" t="s">
        <x:v>266</x:v>
      </x:c>
      <x:c r="B4" t="n">
        <x:f>COUNTIF('1 Žaliavų gavimas'!$D$4:$D$206,"?*")</x:f>
        <x:v>0</x:v>
      </x:c>
      <x:c r="D4" t="s">
        <x:v>12</x:v>
      </x:c>
      <x:c r="E4" s="13" t="n">
        <x:f>SUMIFS('6 Partijų likučiai'!$E$4:$E$203,'6 Partijų likučiai'!$A$4:$A$203,$D4)</x:f>
        <x:v>11650</x:v>
      </x:c>
      <x:c r="F4" s="13" t="n">
        <x:f>SUMIFS('6 Partijų likučiai'!$F$4:$F$203,'6 Partijų likučiai'!$A$4:$A$203,$D4)</x:f>
        <x:v>0</x:v>
      </x:c>
      <x:c r="G4" s="13" t="n">
        <x:f>SUMIFS('6 Partijų likučiai'!$G$4:$G$203,'6 Partijų likučiai'!$A$4:$A$203,$D4)</x:f>
        <x:v>7382.468206560001</x:v>
      </x:c>
      <x:c r="H4" s="13" t="n">
        <x:f>SUMIFS('6 Partijų likučiai'!$H$4:$H$203,'6 Partijų likučiai'!$A$4:$A$203,$D4)</x:f>
        <x:v>4267.531793439999</x:v>
      </x:c>
    </x:row>
    <x:row r="5">
      <x:c r="A5" t="s">
        <x:v>267</x:v>
      </x:c>
      <x:c r="B5" t="n">
        <x:f>COUNTIF('2 Gamyba'!$A$4:$A$99,"&gt;0")</x:f>
        <x:v>96</x:v>
      </x:c>
      <x:c r="D5" t="s">
        <x:v>15</x:v>
      </x:c>
      <x:c r="E5" s="13" t="n">
        <x:f>SUMIFS('6 Partijų likučiai'!$E$4:$E$203,'6 Partijų likučiai'!$A$4:$A$203,$D5)</x:f>
        <x:v>5185</x:v>
      </x:c>
      <x:c r="F5" s="13" t="n">
        <x:f>SUMIFS('6 Partijų likučiai'!$F$4:$F$203,'6 Partijų likučiai'!$A$4:$A$203,$D5)</x:f>
        <x:v>0</x:v>
      </x:c>
      <x:c r="G5" s="13" t="n">
        <x:f>SUMIFS('6 Partijų likučiai'!$G$4:$G$203,'6 Partijų likučiai'!$A$4:$A$203,$D5)</x:f>
        <x:v>1465.7758258840001</x:v>
      </x:c>
      <x:c r="H5" s="13" t="n">
        <x:f>SUMIFS('6 Partijų likučiai'!$H$4:$H$203,'6 Partijų likučiai'!$A$4:$A$203,$D5)</x:f>
        <x:v>3719.224174116</x:v>
      </x:c>
    </x:row>
    <x:row r="6">
      <x:c r="A6" t="s">
        <x:v>268</x:v>
      </x:c>
      <x:c r="B6" t="n">
        <x:f>COUNTIF('3 Sunaudojimas'!$D$4:$D$771,"?*")</x:f>
        <x:v>0</x:v>
      </x:c>
      <x:c r="D6" t="s">
        <x:v>17</x:v>
      </x:c>
      <x:c r="E6" s="13" t="n">
        <x:f>SUMIFS('6 Partijų likučiai'!$E$4:$E$203,'6 Partijų likučiai'!$A$4:$A$203,$D6)</x:f>
        <x:v>15804</x:v>
      </x:c>
      <x:c r="F6" s="13" t="n">
        <x:f>SUMIFS('6 Partijų likučiai'!$F$4:$F$203,'6 Partijų likučiai'!$A$4:$A$203,$D6)</x:f>
        <x:v>0</x:v>
      </x:c>
      <x:c r="G6" s="13" t="n">
        <x:f>SUMIFS('6 Partijų likučiai'!$G$4:$G$203,'6 Partijų likučiai'!$A$4:$A$203,$D6)</x:f>
        <x:v>8640.69161712</x:v>
      </x:c>
      <x:c r="H6" s="13" t="n">
        <x:f>SUMIFS('6 Partijų likučiai'!$H$4:$H$203,'6 Partijų likučiai'!$A$4:$A$203,$D6)</x:f>
        <x:v>7163.308382880001</x:v>
      </x:c>
    </x:row>
    <x:row r="7">
      <x:c r="A7" t="s">
        <x:v>269</x:v>
      </x:c>
      <x:c r="B7" t="n">
        <x:f>COUNTIF('3 Sunaudojimas'!$Q$4:$Q$771,"TRŪKSTA*")</x:f>
        <x:v>0</x:v>
      </x:c>
      <x:c r="D7" t="s">
        <x:v>23</x:v>
      </x:c>
      <x:c r="E7" s="13" t="n">
        <x:f>SUMIFS('6 Partijų likučiai'!$E$4:$E$203,'6 Partijų likučiai'!$A$4:$A$203,$D7)</x:f>
        <x:v>13036</x:v>
      </x:c>
      <x:c r="F7" s="13" t="n">
        <x:f>SUMIFS('6 Partijų likučiai'!$F$4:$F$203,'6 Partijų likučiai'!$A$4:$A$203,$D7)</x:f>
        <x:v>0</x:v>
      </x:c>
      <x:c r="G7" s="13" t="n">
        <x:f>SUMIFS('6 Partijų likučiai'!$G$4:$G$203,'6 Partijų likučiai'!$A$4:$A$203,$D7)</x:f>
        <x:v>5039.1512345520005</x:v>
      </x:c>
      <x:c r="H7" s="13" t="n">
        <x:f>SUMIFS('6 Partijų likučiai'!$H$4:$H$203,'6 Partijų likučiai'!$A$4:$A$203,$D7)</x:f>
        <x:v>7996.8487654479995</x:v>
      </x:c>
    </x:row>
    <x:row r="8">
      <x:c r="A8" t="s">
        <x:v>270</x:v>
      </x:c>
      <x:c r="B8" t="n">
        <x:f ca="1">COUNTIF('6 Partijų likučiai'!$J$4:$J$203,"PASIBAIGĘS")</x:f>
        <x:v>47</x:v>
      </x:c>
      <x:c r="D8" t="s">
        <x:v>20</x:v>
      </x:c>
      <x:c r="E8" s="13" t="n">
        <x:f>SUMIFS('6 Partijų likučiai'!$E$4:$E$203,'6 Partijų likučiai'!$A$4:$A$203,$D8)</x:f>
        <x:v>8523</x:v>
      </x:c>
      <x:c r="F8" s="13" t="n">
        <x:f>SUMIFS('6 Partijų likučiai'!$F$4:$F$203,'6 Partijų likučiai'!$A$4:$A$203,$D8)</x:f>
        <x:v>0</x:v>
      </x:c>
      <x:c r="G8" s="13" t="n">
        <x:f>SUMIFS('6 Partijų likučiai'!$G$4:$G$203,'6 Partijų likučiai'!$A$4:$A$203,$D8)</x:f>
        <x:v>2122.9998840999997</x:v>
      </x:c>
      <x:c r="H8" s="13" t="n">
        <x:f>SUMIFS('6 Partijų likučiai'!$H$4:$H$203,'6 Partijų likučiai'!$A$4:$A$203,$D8)</x:f>
        <x:v>6400.0001159</x:v>
      </x:c>
    </x:row>
    <x:row r="9">
      <x:c r="A9" t="s">
        <x:v>271</x:v>
      </x:c>
      <x:c r="B9" t="n">
        <x:f ca="1">COUNTIF('6 Partijų likučiai'!$J$4:$J$203,"BAIGIASI ≤3 D.")</x:f>
        <x:v>3</x:v>
      </x:c>
      <x:c r="D9" t="s">
        <x:v>28</x:v>
      </x:c>
      <x:c r="E9" s="13" t="n">
        <x:f>SUMIFS('6 Partijų likučiai'!$E$4:$E$203,'6 Partijų likučiai'!$A$4:$A$203,$D9)</x:f>
        <x:v>2972</x:v>
      </x:c>
      <x:c r="F9" s="13" t="n">
        <x:f>SUMIFS('6 Partijų likučiai'!$F$4:$F$203,'6 Partijų likučiai'!$A$4:$A$203,$D9)</x:f>
        <x:v>0</x:v>
      </x:c>
      <x:c r="G9" s="13" t="n">
        <x:f>SUMIFS('6 Partijų likučiai'!$G$4:$G$203,'6 Partijų likučiai'!$A$4:$A$203,$D9)</x:f>
        <x:v>2639.1516185520004</x:v>
      </x:c>
      <x:c r="H9" s="13" t="n">
        <x:f>SUMIFS('6 Partijų likučiai'!$H$4:$H$203,'6 Partijų likučiai'!$A$4:$A$203,$D9)</x:f>
        <x:v>332.8483814479998</x:v>
      </x:c>
    </x:row>
    <x:row r="10">
      <x:c r="A10" t="s">
        <x:v>272</x:v>
      </x:c>
      <x:c r="B10" s="13" t="n">
        <x:f>SUM('5 Žaliavų perdavimai'!$E$4:$E$203)</x:f>
        <x:v>0</x:v>
      </x:c>
      <x:c r="D10" t="s">
        <x:v>31</x:v>
      </x:c>
      <x:c r="E10" s="13" t="n">
        <x:f>SUMIFS('6 Partijų likučiai'!$E$4:$E$203,'6 Partijų likučiai'!$A$4:$A$203,$D10)</x:f>
        <x:v>6000</x:v>
      </x:c>
      <x:c r="F10" s="13" t="n">
        <x:f>SUMIFS('6 Partijų likučiai'!$F$4:$F$203,'6 Partijų likučiai'!$A$4:$A$203,$D10)</x:f>
        <x:v>0</x:v>
      </x:c>
      <x:c r="G10" s="13" t="n">
        <x:f>SUMIFS('6 Partijų likučiai'!$G$4:$G$203,'6 Partijų likučiai'!$A$4:$A$203,$D10)</x:f>
        <x:v>2349.14081472</x:v>
      </x:c>
      <x:c r="H10" s="13" t="n">
        <x:f>SUMIFS('6 Partijų likučiai'!$H$4:$H$203,'6 Partijų likučiai'!$A$4:$A$203,$D10)</x:f>
        <x:v>3650.85918528</x:v>
      </x:c>
    </x:row>
    <x:row r="11">
      <x:c r="D11" t="s">
        <x:v>37</x:v>
      </x:c>
      <x:c r="E11" s="13" t="n">
        <x:f>SUMIFS('6 Partijų likučiai'!$E$4:$E$203,'6 Partijų likučiai'!$A$4:$A$203,$D11)</x:f>
        <x:v>1625</x:v>
      </x:c>
      <x:c r="F11" s="13" t="n">
        <x:f>SUMIFS('6 Partijų likučiai'!$F$4:$F$203,'6 Partijų likučiai'!$A$4:$A$203,$D11)</x:f>
        <x:v>0</x:v>
      </x:c>
      <x:c r="G11" s="13" t="n">
        <x:f>SUMIFS('6 Partijų likučiai'!$G$4:$G$203,'6 Partijų likučiai'!$A$4:$A$203,$D11)</x:f>
        <x:v>409.19993452800003</x:v>
      </x:c>
      <x:c r="H11" s="13" t="n">
        <x:f>SUMIFS('6 Partijų likučiai'!$H$4:$H$203,'6 Partijų likučiai'!$A$4:$A$203,$D11)</x:f>
        <x:v>1215.800065472</x:v>
      </x:c>
    </x:row>
    <x:row r="12">
      <x:c r="D12" t="s">
        <x:v>34</x:v>
      </x:c>
      <x:c r="E12" s="13" t="n">
        <x:f>SUMIFS('6 Partijų likučiai'!$E$4:$E$203,'6 Partijų likučiai'!$A$4:$A$203,$D12)</x:f>
        <x:v>40</x:v>
      </x:c>
      <x:c r="F12" s="13" t="n">
        <x:f>SUMIFS('6 Partijų likučiai'!$F$4:$F$203,'6 Partijų likučiai'!$A$4:$A$203,$D12)</x:f>
        <x:v>0</x:v>
      </x:c>
      <x:c r="G12" s="13" t="n">
        <x:f>SUMIFS('6 Partijų likučiai'!$G$4:$G$203,'6 Partijų likučiai'!$A$4:$A$203,$D12)</x:f>
        <x:v>10.16109218</x:v>
      </x:c>
      <x:c r="H12" s="13" t="n">
        <x:f>SUMIFS('6 Partijų likučiai'!$H$4:$H$203,'6 Partijų likučiai'!$A$4:$A$203,$D12)</x:f>
        <x:v>29.83890782</x:v>
      </x:c>
    </x:row>
    <x:row r="13">
      <x:c r="D13" t="s">
        <x:v>25</x:v>
      </x:c>
      <x:c r="E13" s="13" t="n">
        <x:f>SUMIFS('6 Partijų likučiai'!$E$4:$E$203,'6 Partijų likučiai'!$A$4:$A$203,$D13)</x:f>
        <x:v>42</x:v>
      </x:c>
      <x:c r="F13" s="13" t="n">
        <x:f>SUMIFS('6 Partijų likučiai'!$F$4:$F$203,'6 Partijų likučiai'!$A$4:$A$203,$D13)</x:f>
        <x:v>0</x:v>
      </x:c>
      <x:c r="G13" s="13" t="n">
        <x:f>SUMIFS('6 Partijų likučiai'!$G$4:$G$203,'6 Partijų likučiai'!$A$4:$A$203,$D13)</x:f>
        <x:v>33.569546014</x:v>
      </x:c>
      <x:c r="H13" s="13" t="n">
        <x:f>SUMIFS('6 Partijų likučiai'!$H$4:$H$203,'6 Partijų likučiai'!$A$4:$A$203,$D13)</x:f>
        <x:v>8.430453986</x:v>
      </x:c>
    </x:row>
    <x:row r="14">
      <x:c r="D14" t="s">
        <x:v>238</x:v>
      </x:c>
      <x:c r="E14" s="13" t="n">
        <x:f>SUMIFS('6 Partijų likučiai'!$E$4:$E$203,'6 Partijų likučiai'!$A$4:$A$203,$D14)</x:f>
        <x:v>0</x:v>
      </x:c>
      <x:c r="F14" s="13" t="n">
        <x:f>SUMIFS('6 Partijų likučiai'!$F$4:$F$203,'6 Partijų likučiai'!$A$4:$A$203,$D14)</x:f>
        <x:v>0</x:v>
      </x:c>
      <x:c r="G14" s="13" t="n">
        <x:f>SUMIFS('6 Partijų likučiai'!$G$4:$G$203,'6 Partijų likučiai'!$A$4:$A$203,$D14)</x:f>
        <x:v>0</x:v>
      </x:c>
      <x:c r="H14" s="13" t="n">
        <x:f>SUMIFS('6 Partijų likučiai'!$H$4:$H$203,'6 Partijų likučiai'!$A$4:$A$203,$D14)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"/>
  <x:cols>
    <x:col min="1" max="1" width="24" customWidth="1"/>
    <x:col min="3" max="3" width="34" customWidth="1"/>
    <x:col min="5" max="5" width="20" customWidth="1"/>
    <x:col min="6" max="6" width="52" customWidth="1"/>
  </x:cols>
  <x:sheetData>
    <x:row r="1">
      <x:c r="A1" s="1" t="s">
        <x:v>273</x:v>
      </x:c>
      <x:c r="B1" s="1"/>
      <x:c r="C1" s="1" t="s">
        <x:v>274</x:v>
      </x:c>
      <x:c r="D1" s="1"/>
      <x:c r="E1" s="1" t="s">
        <x:v>275</x:v>
      </x:c>
      <x:c r="F1" s="1" t="s">
        <x:v>276</x:v>
      </x:c>
    </x:row>
    <x:row r="2">
      <x:c r="A2" t="s">
        <x:v>205</x:v>
      </x:c>
      <x:c r="C2" t="s">
        <x:v>12</x:v>
      </x:c>
      <x:c r="E2" t="s">
        <x:v>277</x:v>
      </x:c>
      <x:c r="F2" t="s">
        <x:v>278</x:v>
      </x:c>
    </x:row>
    <x:row r="3">
      <x:c r="A3" t="s">
        <x:v>207</x:v>
      </x:c>
      <x:c r="C3" t="s">
        <x:v>15</x:v>
      </x:c>
      <x:c r="E3" t="s">
        <x:v>279</x:v>
      </x:c>
      <x:c r="F3" t="s">
        <x:v>280</x:v>
      </x:c>
    </x:row>
    <x:row r="4">
      <x:c r="A4" t="s">
        <x:v>209</x:v>
      </x:c>
      <x:c r="C4" t="s">
        <x:v>17</x:v>
      </x:c>
      <x:c r="E4" t="s">
        <x:v>281</x:v>
      </x:c>
      <x:c r="F4" t="s">
        <x:v>282</x:v>
      </x:c>
    </x:row>
    <x:row r="5">
      <x:c r="C5" t="s">
        <x:v>23</x:v>
      </x:c>
    </x:row>
    <x:row r="6">
      <x:c r="C6" t="s">
        <x:v>20</x:v>
      </x:c>
    </x:row>
    <x:row r="7">
      <x:c r="C7" t="s">
        <x:v>28</x:v>
      </x:c>
    </x:row>
    <x:row r="8">
      <x:c r="C8" t="s">
        <x:v>31</x:v>
      </x:c>
    </x:row>
    <x:row r="9">
      <x:c r="C9" t="s">
        <x:v>37</x:v>
      </x:c>
    </x:row>
    <x:row r="10">
      <x:c r="C10" t="s">
        <x:v>34</x:v>
      </x:c>
    </x:row>
    <x:row r="11">
      <x:c r="C11" t="s">
        <x:v>25</x:v>
      </x:c>
    </x:row>
    <x:row r="12">
      <x:c r="C12" t="s">
        <x:v>238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"/>
  <x:cols>
    <x:col min="1" max="1" width="6" customWidth="1"/>
    <x:col min="2" max="2" width="110" customWidth="1"/>
  </x:cols>
  <x:sheetData>
    <x:row r="1" ht="18">
      <x:c r="A1" s="17" t="s">
        <x:v>283</x:v>
      </x:c>
      <x:c r="B1" s="17"/>
    </x:row>
    <x:row r="3" ht="26.649999618530273" customHeight="1">
      <x:c r="A3" s="9" t="s">
        <x:v>284</x:v>
      </x:c>
      <x:c r="B3" s="10" t="s">
        <x:v>285</x:v>
      </x:c>
    </x:row>
    <x:row r="4" ht="26.649999618530273" customHeight="1">
      <x:c r="A4" s="9" t="s">
        <x:v>286</x:v>
      </x:c>
      <x:c r="B4" s="10" t="s">
        <x:v>287</x:v>
      </x:c>
    </x:row>
    <x:row r="5" ht="26.649999618530273" customHeight="1">
      <x:c r="A5" s="9" t="s">
        <x:v>288</x:v>
      </x:c>
      <x:c r="B5" s="10" t="s">
        <x:v>289</x:v>
      </x:c>
    </x:row>
    <x:row r="6" ht="26.649999618530273" customHeight="1">
      <x:c r="A6" s="9" t="s">
        <x:v>290</x:v>
      </x:c>
      <x:c r="B6" s="10" t="s">
        <x:v>291</x:v>
      </x:c>
    </x:row>
    <x:row r="7" ht="26.649999618530273" customHeight="1">
      <x:c r="A7" s="9" t="s">
        <x:v>292</x:v>
      </x:c>
      <x:c r="B7" s="10" t="s">
        <x:v>293</x:v>
      </x:c>
    </x:row>
    <x:row r="8" ht="26.649999618530273" customHeight="1">
      <x:c r="A8" s="9" t="s">
        <x:v>294</x:v>
      </x:c>
      <x:c r="B8" s="10" t="s">
        <x:v>295</x:v>
      </x:c>
    </x:row>
    <x:row r="9" ht="26.649999618530273" customHeight="1">
      <x:c r="A9" s="9" t="s">
        <x:v>296</x:v>
      </x:c>
      <x:c r="B9" s="10" t="s">
        <x:v>297</x:v>
      </x:c>
    </x:row>
    <x:row r="10" ht="26.649999618530273" customHeight="1">
      <x:c r="A10" s="9" t="s">
        <x:v>298</x:v>
      </x:c>
      <x:c r="B10" s="10" t="s">
        <x:v>299</x:v>
      </x:c>
    </x:row>
    <x:row r="11" ht="26.649999618530273" customHeight="1">
      <x:c r="A11" s="9" t="s">
        <x:v>300</x:v>
      </x:c>
      <x:c r="B11" s="10" t="s">
        <x:v>301</x:v>
      </x:c>
    </x:row>
    <x:row r="13" ht="26.649999618530273" customHeight="1">
      <x:c r="A13" s="15" t="s">
        <x:v>302</x:v>
      </x:c>
      <x:c r="B13" s="10" t="s">
        <x:v>303</x:v>
      </x:c>
    </x:row>
  </x:sheetData>
  <x:mergeCells>
    <x:mergeCell ref="A1:B1"/>
  </x:mergeCells>
  <x:pageMargins left="0.7" right="0.7" top="0.75" bottom="0.75" header="0.3" footer="0.3"/>
</x:worksheet>
</file>